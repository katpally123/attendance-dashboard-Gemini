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- Metrics" sheetId="1" r:id="rId4"/>
  </sheets>
  <definedNames/>
  <calcPr/>
</workbook>
</file>

<file path=xl/sharedStrings.xml><?xml version="1.0" encoding="utf-8"?>
<sst xmlns="http://schemas.openxmlformats.org/spreadsheetml/2006/main" count="48" uniqueCount="42">
  <si>
    <t>Attendance</t>
  </si>
  <si>
    <t xml:space="preserve">YHM2 - SDC </t>
  </si>
  <si>
    <t>SDC TOTAL</t>
  </si>
  <si>
    <t>YDD2 - IXD</t>
  </si>
  <si>
    <t>IXD TOTAL</t>
  </si>
  <si>
    <t>Attendance Details</t>
  </si>
  <si>
    <t>INBOUND</t>
  </si>
  <si>
    <t>DA</t>
  </si>
  <si>
    <t>ICQA</t>
  </si>
  <si>
    <t>CRETs</t>
  </si>
  <si>
    <t>TOTAL</t>
  </si>
  <si>
    <t>AMZN</t>
  </si>
  <si>
    <t>TEMP</t>
  </si>
  <si>
    <t>Regular HC (Cohort Expected)</t>
  </si>
  <si>
    <t>Regular HC Present (Excluding Swaps)</t>
  </si>
  <si>
    <t xml:space="preserve">Shift Swap Out </t>
  </si>
  <si>
    <t>Shift Swap Expected</t>
  </si>
  <si>
    <t xml:space="preserve">Shift Swap Present </t>
  </si>
  <si>
    <t>Regular Attendance %</t>
  </si>
  <si>
    <t>VTO</t>
  </si>
  <si>
    <t>VET Accepted</t>
  </si>
  <si>
    <t>VET Present</t>
  </si>
  <si>
    <t>Total HC expected incl VET +Shift Swap (excl VTO)</t>
  </si>
  <si>
    <t>Total Showed incl VET + Shift Swap (excl VTO)</t>
  </si>
  <si>
    <t>Total Percentage Showed incl VET &amp; Shift Swap(excl VTO)</t>
  </si>
  <si>
    <t>MET Expected</t>
  </si>
  <si>
    <t>MET Present</t>
  </si>
  <si>
    <t>MET Present %</t>
  </si>
  <si>
    <t>Percentage Present incl MET</t>
  </si>
  <si>
    <t>Total HC expected incl VET &amp; MET &amp; Shift Swap (excl VTO)</t>
  </si>
  <si>
    <t>Total Showed incl VET &amp; MET &amp; Shift Swap (excl VTO)</t>
  </si>
  <si>
    <t>Total Percentage Showed incl VET &amp; MET &amp; Shift Swap (excl VTO)</t>
  </si>
  <si>
    <t>ALPS (Hours)- Show Hours- Forecast</t>
  </si>
  <si>
    <t>ALPS (Show Hours/9.3)</t>
  </si>
  <si>
    <t>ALPS Regular HC %</t>
  </si>
  <si>
    <t>Assumptions %</t>
  </si>
  <si>
    <t>Variance(Assumptions vs Actuals)</t>
  </si>
  <si>
    <t>Total Show Hours (Regular)</t>
  </si>
  <si>
    <t>Variance (Hours)</t>
  </si>
  <si>
    <t>Spotlights</t>
  </si>
  <si>
    <t>Root Cause Corrective Action</t>
  </si>
  <si>
    <t>Total Absences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</si>
</sst>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0"/>
      <name val="Amazon Ember"/>
    </font>
    <font/>
    <font>
      <b/>
      <sz val="11.0"/>
      <color theme="1"/>
      <name val="Amazon Ember"/>
    </font>
    <font>
      <sz val="11.0"/>
      <color theme="1"/>
      <name val="Amazon Ember"/>
    </font>
    <font>
      <b/>
      <i/>
      <sz val="11.0"/>
      <color theme="1"/>
      <name val="Calibri"/>
    </font>
    <font>
      <b/>
      <sz val="11.0"/>
      <color rgb="FFFFFFFF"/>
      <name val="Amazon Ember"/>
    </font>
    <font>
      <b/>
      <sz val="11.0"/>
      <color rgb="FF000000"/>
      <name val="Amazon Ember"/>
    </font>
    <font>
      <b/>
      <sz val="11.0"/>
      <color theme="1"/>
      <name val="Calibri"/>
    </font>
    <font>
      <b/>
      <sz val="11.0"/>
      <color rgb="FFFF0000"/>
      <name val="Calibri"/>
    </font>
    <font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4" fontId="2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6" fillId="0" fontId="3" numFmtId="0" xfId="0" applyBorder="1" applyFont="1"/>
    <xf borderId="8" fillId="4" fontId="2" numFmtId="0" xfId="0" applyAlignment="1" applyBorder="1" applyFont="1">
      <alignment horizontal="center" vertical="center"/>
    </xf>
    <xf borderId="17" fillId="0" fontId="3" numFmtId="0" xfId="0" applyBorder="1" applyFont="1"/>
    <xf borderId="1" fillId="5" fontId="2" numFmtId="9" xfId="0" applyAlignment="1" applyBorder="1" applyFill="1" applyFont="1" applyNumberFormat="1">
      <alignment horizontal="left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" fillId="4" fontId="2" numFmtId="9" xfId="0" applyAlignment="1" applyBorder="1" applyFont="1" applyNumberFormat="1">
      <alignment horizontal="left" vertical="center"/>
    </xf>
    <xf borderId="1" fillId="4" fontId="2" numFmtId="10" xfId="0" applyAlignment="1" applyBorder="1" applyFont="1" applyNumberFormat="1">
      <alignment horizontal="center" vertical="center"/>
    </xf>
    <xf borderId="15" fillId="4" fontId="2" numFmtId="10" xfId="0" applyAlignment="1" applyBorder="1" applyFont="1" applyNumberFormat="1">
      <alignment horizontal="center" vertical="center"/>
    </xf>
    <xf borderId="18" fillId="4" fontId="2" numFmtId="10" xfId="0" applyAlignment="1" applyBorder="1" applyFont="1" applyNumberFormat="1">
      <alignment horizontal="center" vertical="center"/>
    </xf>
    <xf borderId="8" fillId="4" fontId="2" numFmtId="10" xfId="0" applyAlignment="1" applyBorder="1" applyFont="1" applyNumberFormat="1">
      <alignment horizontal="center" vertical="center"/>
    </xf>
    <xf borderId="0" fillId="0" fontId="6" numFmtId="0" xfId="0" applyFont="1"/>
    <xf borderId="1" fillId="6" fontId="4" numFmtId="9" xfId="0" applyAlignment="1" applyBorder="1" applyFill="1" applyFont="1" applyNumberFormat="1">
      <alignment horizontal="left" vertical="center"/>
    </xf>
    <xf borderId="1" fillId="7" fontId="2" numFmtId="0" xfId="0" applyAlignment="1" applyBorder="1" applyFill="1" applyFont="1">
      <alignment horizontal="center" vertical="center"/>
    </xf>
    <xf borderId="15" fillId="7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vertical="center"/>
    </xf>
    <xf borderId="1" fillId="8" fontId="7" numFmtId="9" xfId="0" applyAlignment="1" applyBorder="1" applyFill="1" applyFont="1" applyNumberFormat="1">
      <alignment horizontal="left" vertical="center"/>
    </xf>
    <xf borderId="1" fillId="8" fontId="7" numFmtId="10" xfId="0" applyAlignment="1" applyBorder="1" applyFont="1" applyNumberFormat="1">
      <alignment horizontal="center" vertical="center"/>
    </xf>
    <xf borderId="15" fillId="8" fontId="7" numFmtId="10" xfId="0" applyAlignment="1" applyBorder="1" applyFont="1" applyNumberFormat="1">
      <alignment horizontal="center" vertical="center"/>
    </xf>
    <xf borderId="18" fillId="8" fontId="7" numFmtId="10" xfId="0" applyAlignment="1" applyBorder="1" applyFont="1" applyNumberFormat="1">
      <alignment horizontal="center" vertical="center"/>
    </xf>
    <xf borderId="8" fillId="8" fontId="7" numFmtId="10" xfId="0" applyAlignment="1" applyBorder="1" applyFont="1" applyNumberFormat="1">
      <alignment horizontal="center" vertical="center"/>
    </xf>
    <xf borderId="1" fillId="9" fontId="8" numFmtId="9" xfId="0" applyAlignment="1" applyBorder="1" applyFill="1" applyFont="1" applyNumberFormat="1">
      <alignment horizontal="left" vertical="center"/>
    </xf>
    <xf borderId="1" fillId="9" fontId="8" numFmtId="10" xfId="0" applyAlignment="1" applyBorder="1" applyFont="1" applyNumberFormat="1">
      <alignment horizontal="center" vertical="center"/>
    </xf>
    <xf borderId="15" fillId="9" fontId="8" numFmtId="10" xfId="0" applyAlignment="1" applyBorder="1" applyFont="1" applyNumberFormat="1">
      <alignment horizontal="center" vertical="center"/>
    </xf>
    <xf borderId="18" fillId="9" fontId="8" numFmtId="10" xfId="0" applyAlignment="1" applyBorder="1" applyFont="1" applyNumberFormat="1">
      <alignment horizontal="center" vertical="center"/>
    </xf>
    <xf borderId="8" fillId="9" fontId="8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2" fillId="10" fontId="5" numFmtId="1" xfId="0" applyAlignment="1" applyBorder="1" applyFill="1" applyFont="1" applyNumberFormat="1">
      <alignment horizontal="center" vertical="center"/>
    </xf>
    <xf borderId="18" fillId="10" fontId="5" numFmtId="1" xfId="0" applyAlignment="1" applyBorder="1" applyFont="1" applyNumberFormat="1">
      <alignment horizontal="center" vertical="center"/>
    </xf>
    <xf borderId="11" fillId="10" fontId="5" numFmtId="1" xfId="0" applyAlignment="1" applyBorder="1" applyFont="1" applyNumberFormat="1">
      <alignment horizontal="center" vertical="center"/>
    </xf>
    <xf borderId="8" fillId="10" fontId="5" numFmtId="1" xfId="0" applyAlignment="1" applyBorder="1" applyFont="1" applyNumberFormat="1">
      <alignment horizontal="center" vertical="center"/>
    </xf>
    <xf borderId="1" fillId="11" fontId="2" numFmtId="9" xfId="0" applyAlignment="1" applyBorder="1" applyFill="1" applyFont="1" applyNumberFormat="1">
      <alignment horizontal="left" vertical="center"/>
    </xf>
    <xf borderId="1" fillId="11" fontId="2" numFmtId="10" xfId="0" applyAlignment="1" applyBorder="1" applyFont="1" applyNumberFormat="1">
      <alignment horizontal="center" vertical="center"/>
    </xf>
    <xf borderId="15" fillId="11" fontId="2" numFmtId="10" xfId="0" applyAlignment="1" applyBorder="1" applyFont="1" applyNumberFormat="1">
      <alignment horizontal="center" vertical="center"/>
    </xf>
    <xf borderId="18" fillId="11" fontId="2" numFmtId="10" xfId="0" applyAlignment="1" applyBorder="1" applyFont="1" applyNumberFormat="1">
      <alignment horizontal="center" vertical="center"/>
    </xf>
    <xf borderId="8" fillId="11" fontId="2" numFmtId="10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2" fillId="0" fontId="4" numFmtId="1" xfId="0" applyAlignment="1" applyBorder="1" applyFont="1" applyNumberFormat="1">
      <alignment horizontal="center" vertical="center"/>
    </xf>
    <xf borderId="18" fillId="0" fontId="4" numFmtId="1" xfId="0" applyAlignment="1" applyBorder="1" applyFont="1" applyNumberFormat="1">
      <alignment horizontal="center" vertical="center"/>
    </xf>
    <xf borderId="4" fillId="0" fontId="4" numFmtId="1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left" vertical="center"/>
    </xf>
    <xf borderId="1" fillId="9" fontId="4" numFmtId="1" xfId="0" applyAlignment="1" applyBorder="1" applyFont="1" applyNumberFormat="1">
      <alignment horizontal="center" vertical="center"/>
    </xf>
    <xf borderId="15" fillId="9" fontId="4" numFmtId="1" xfId="0" applyAlignment="1" applyBorder="1" applyFont="1" applyNumberFormat="1">
      <alignment horizontal="center" vertical="center"/>
    </xf>
    <xf borderId="19" fillId="9" fontId="4" numFmtId="1" xfId="0" applyAlignment="1" applyBorder="1" applyFont="1" applyNumberFormat="1">
      <alignment horizontal="center" vertical="center"/>
    </xf>
    <xf borderId="8" fillId="9" fontId="4" numFmtId="1" xfId="0" applyAlignment="1" applyBorder="1" applyFont="1" applyNumberFormat="1">
      <alignment horizontal="center" vertical="center"/>
    </xf>
    <xf borderId="1" fillId="12" fontId="4" numFmtId="0" xfId="0" applyAlignment="1" applyBorder="1" applyFill="1" applyFont="1">
      <alignment horizontal="left" vertical="center"/>
    </xf>
    <xf borderId="2" fillId="12" fontId="4" numFmtId="0" xfId="0" applyAlignment="1" applyBorder="1" applyFont="1">
      <alignment horizontal="center" shrinkToFit="0" vertical="center" wrapText="1"/>
    </xf>
    <xf borderId="1" fillId="13" fontId="4" numFmtId="9" xfId="0" applyAlignment="1" applyBorder="1" applyFill="1" applyFont="1" applyNumberFormat="1">
      <alignment horizontal="left" vertical="center"/>
    </xf>
    <xf borderId="2" fillId="14" fontId="8" numFmtId="0" xfId="0" applyAlignment="1" applyBorder="1" applyFill="1" applyFont="1">
      <alignment horizontal="center" shrinkToFit="0" vertical="center" wrapText="1"/>
    </xf>
    <xf borderId="1" fillId="0" fontId="9" numFmtId="0" xfId="0" applyBorder="1" applyFont="1"/>
    <xf borderId="1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left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 fitToPage="1"/>
  </sheetPr>
  <sheetViews>
    <sheetView showGridLines="0" workbookViewId="0"/>
  </sheetViews>
  <sheetFormatPr customHeight="1" defaultColWidth="12.63" defaultRowHeight="15.75"/>
  <cols>
    <col customWidth="1" min="1" max="1" width="56.38"/>
    <col customWidth="1" min="2" max="3" width="13.0"/>
    <col customWidth="1" min="4" max="6" width="14.63"/>
    <col customWidth="1" min="7" max="10" width="11.13"/>
    <col customWidth="1" min="11" max="11" width="13.75"/>
    <col customWidth="1" min="12" max="12" width="13.0"/>
    <col customWidth="1" min="13" max="13" width="10.25"/>
    <col customWidth="1" min="14" max="14" width="16.5"/>
    <col customWidth="1" min="15" max="26" width="8.0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5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A3" s="5"/>
      <c r="B3" s="6" t="s">
        <v>1</v>
      </c>
      <c r="C3" s="3"/>
      <c r="D3" s="3"/>
      <c r="E3" s="7"/>
      <c r="F3" s="8" t="s">
        <v>2</v>
      </c>
      <c r="G3" s="9"/>
      <c r="H3" s="10"/>
      <c r="I3" s="6" t="s">
        <v>3</v>
      </c>
      <c r="J3" s="7"/>
      <c r="K3" s="8" t="s">
        <v>4</v>
      </c>
      <c r="L3" s="11"/>
    </row>
    <row r="4" ht="14.25" customHeight="1">
      <c r="A4" s="12" t="s">
        <v>5</v>
      </c>
      <c r="B4" s="13" t="s">
        <v>6</v>
      </c>
      <c r="C4" s="4"/>
      <c r="D4" s="13" t="s">
        <v>7</v>
      </c>
      <c r="E4" s="7"/>
      <c r="F4" s="14"/>
      <c r="G4" s="15" t="s">
        <v>8</v>
      </c>
      <c r="H4" s="4"/>
      <c r="I4" s="16" t="s">
        <v>9</v>
      </c>
      <c r="J4" s="17"/>
      <c r="K4" s="14"/>
      <c r="L4" s="18" t="s">
        <v>10</v>
      </c>
    </row>
    <row r="5" ht="14.25" customHeight="1">
      <c r="A5" s="12"/>
      <c r="B5" s="12" t="s">
        <v>11</v>
      </c>
      <c r="C5" s="12" t="s">
        <v>12</v>
      </c>
      <c r="D5" s="12" t="s">
        <v>11</v>
      </c>
      <c r="E5" s="19" t="s">
        <v>12</v>
      </c>
      <c r="F5" s="20"/>
      <c r="G5" s="21" t="s">
        <v>11</v>
      </c>
      <c r="H5" s="12" t="s">
        <v>12</v>
      </c>
      <c r="I5" s="12" t="s">
        <v>11</v>
      </c>
      <c r="J5" s="19" t="s">
        <v>12</v>
      </c>
      <c r="K5" s="20"/>
      <c r="L5" s="22"/>
    </row>
    <row r="6" ht="14.25" customHeight="1">
      <c r="A6" s="23" t="s">
        <v>13</v>
      </c>
      <c r="B6" s="24">
        <v>24.0</v>
      </c>
      <c r="C6" s="24">
        <v>21.0</v>
      </c>
      <c r="D6" s="24">
        <v>10.0</v>
      </c>
      <c r="E6" s="25">
        <v>12.0</v>
      </c>
      <c r="F6" s="26">
        <f t="shared" ref="F6:F10" si="1">SUM(B6:E6)</f>
        <v>67</v>
      </c>
      <c r="G6" s="27">
        <v>4.0</v>
      </c>
      <c r="H6" s="24">
        <v>0.0</v>
      </c>
      <c r="I6" s="24">
        <v>2.0</v>
      </c>
      <c r="J6" s="25">
        <v>71.0</v>
      </c>
      <c r="K6" s="26">
        <f t="shared" ref="K6:K10" si="2">SUM(I6:J6)</f>
        <v>73</v>
      </c>
      <c r="L6" s="27">
        <f t="shared" ref="L6:L10" si="3">F6+SUM(G6:H6)+K6</f>
        <v>144</v>
      </c>
    </row>
    <row r="7" ht="15.75" customHeight="1">
      <c r="A7" s="23" t="s">
        <v>14</v>
      </c>
      <c r="B7" s="24">
        <v>23.0</v>
      </c>
      <c r="C7" s="24">
        <v>18.0</v>
      </c>
      <c r="D7" s="24">
        <v>8.0</v>
      </c>
      <c r="E7" s="25">
        <v>11.0</v>
      </c>
      <c r="F7" s="26">
        <f t="shared" si="1"/>
        <v>60</v>
      </c>
      <c r="G7" s="27">
        <v>3.0</v>
      </c>
      <c r="H7" s="24">
        <v>0.0</v>
      </c>
      <c r="I7" s="24">
        <v>2.0</v>
      </c>
      <c r="J7" s="25">
        <v>65.0</v>
      </c>
      <c r="K7" s="26">
        <f t="shared" si="2"/>
        <v>67</v>
      </c>
      <c r="L7" s="27">
        <f t="shared" si="3"/>
        <v>130</v>
      </c>
    </row>
    <row r="8" ht="15.75" customHeight="1">
      <c r="A8" s="23" t="s">
        <v>15</v>
      </c>
      <c r="B8" s="24">
        <v>0.0</v>
      </c>
      <c r="C8" s="24">
        <v>0.0</v>
      </c>
      <c r="D8" s="24">
        <v>0.0</v>
      </c>
      <c r="E8" s="25">
        <v>0.0</v>
      </c>
      <c r="F8" s="26">
        <f t="shared" si="1"/>
        <v>0</v>
      </c>
      <c r="G8" s="27">
        <v>0.0</v>
      </c>
      <c r="H8" s="24">
        <v>0.0</v>
      </c>
      <c r="I8" s="24">
        <v>0.0</v>
      </c>
      <c r="J8" s="25">
        <v>1.0</v>
      </c>
      <c r="K8" s="26">
        <f t="shared" si="2"/>
        <v>1</v>
      </c>
      <c r="L8" s="27">
        <f t="shared" si="3"/>
        <v>1</v>
      </c>
    </row>
    <row r="9" ht="19.5" customHeight="1">
      <c r="A9" s="23" t="s">
        <v>16</v>
      </c>
      <c r="B9" s="24">
        <v>6.0</v>
      </c>
      <c r="C9" s="24">
        <v>3.0</v>
      </c>
      <c r="D9" s="24">
        <v>1.0</v>
      </c>
      <c r="E9" s="25">
        <v>0.0</v>
      </c>
      <c r="F9" s="26">
        <f t="shared" si="1"/>
        <v>10</v>
      </c>
      <c r="G9" s="27">
        <v>0.0</v>
      </c>
      <c r="H9" s="24">
        <v>0.0</v>
      </c>
      <c r="I9" s="24">
        <v>0.0</v>
      </c>
      <c r="J9" s="25">
        <v>0.0</v>
      </c>
      <c r="K9" s="26">
        <f t="shared" si="2"/>
        <v>0</v>
      </c>
      <c r="L9" s="27">
        <f t="shared" si="3"/>
        <v>10</v>
      </c>
    </row>
    <row r="10" ht="18.0" customHeight="1">
      <c r="A10" s="23" t="s">
        <v>17</v>
      </c>
      <c r="B10" s="24">
        <v>4.0</v>
      </c>
      <c r="C10" s="24">
        <v>3.0</v>
      </c>
      <c r="D10" s="24">
        <v>1.0</v>
      </c>
      <c r="E10" s="25">
        <v>0.0</v>
      </c>
      <c r="F10" s="26">
        <f t="shared" si="1"/>
        <v>8</v>
      </c>
      <c r="G10" s="27">
        <v>0.0</v>
      </c>
      <c r="H10" s="24">
        <v>0.0</v>
      </c>
      <c r="I10" s="24">
        <v>0.0</v>
      </c>
      <c r="J10" s="25">
        <v>0.0</v>
      </c>
      <c r="K10" s="26">
        <f t="shared" si="2"/>
        <v>0</v>
      </c>
      <c r="L10" s="27">
        <f t="shared" si="3"/>
        <v>8</v>
      </c>
    </row>
    <row r="11" ht="14.25" customHeight="1">
      <c r="A11" s="28" t="s">
        <v>18</v>
      </c>
      <c r="B11" s="29">
        <f t="shared" ref="B11:L11" si="4">IFERROR((B7+B10)/(B6+B9-B8),0)</f>
        <v>0.9</v>
      </c>
      <c r="C11" s="29">
        <f t="shared" si="4"/>
        <v>0.875</v>
      </c>
      <c r="D11" s="29">
        <f t="shared" si="4"/>
        <v>0.8181818182</v>
      </c>
      <c r="E11" s="30">
        <f t="shared" si="4"/>
        <v>0.9166666667</v>
      </c>
      <c r="F11" s="31">
        <f t="shared" si="4"/>
        <v>0.8831168831</v>
      </c>
      <c r="G11" s="32">
        <f t="shared" si="4"/>
        <v>0.75</v>
      </c>
      <c r="H11" s="29">
        <f t="shared" si="4"/>
        <v>0</v>
      </c>
      <c r="I11" s="29">
        <f t="shared" si="4"/>
        <v>1</v>
      </c>
      <c r="J11" s="30">
        <f t="shared" si="4"/>
        <v>0.9285714286</v>
      </c>
      <c r="K11" s="31">
        <f t="shared" si="4"/>
        <v>0.9305555556</v>
      </c>
      <c r="L11" s="32">
        <f t="shared" si="4"/>
        <v>0.9019607843</v>
      </c>
      <c r="M11" s="33"/>
    </row>
    <row r="12" ht="14.25" customHeight="1">
      <c r="A12" s="34" t="s">
        <v>19</v>
      </c>
      <c r="B12" s="24">
        <v>0.0</v>
      </c>
      <c r="C12" s="24">
        <v>0.0</v>
      </c>
      <c r="D12" s="24">
        <v>0.0</v>
      </c>
      <c r="E12" s="25">
        <v>0.0</v>
      </c>
      <c r="F12" s="26">
        <f t="shared" ref="F12:F14" si="5">SUM(B12:E12)</f>
        <v>0</v>
      </c>
      <c r="G12" s="27">
        <v>0.0</v>
      </c>
      <c r="H12" s="24">
        <v>0.0</v>
      </c>
      <c r="I12" s="24">
        <v>0.0</v>
      </c>
      <c r="J12" s="25">
        <v>0.0</v>
      </c>
      <c r="K12" s="26">
        <f t="shared" ref="K12:K14" si="6">SUM(I12:J12)</f>
        <v>0</v>
      </c>
      <c r="L12" s="27">
        <f t="shared" ref="L12:L14" si="7">F12+SUM(G12:H12)+K12</f>
        <v>0</v>
      </c>
      <c r="M12" s="33"/>
    </row>
    <row r="13" ht="14.25" customHeight="1">
      <c r="A13" s="34" t="s">
        <v>20</v>
      </c>
      <c r="B13" s="24">
        <v>3.0</v>
      </c>
      <c r="C13" s="24">
        <v>9.0</v>
      </c>
      <c r="D13" s="24">
        <v>2.0</v>
      </c>
      <c r="E13" s="25">
        <v>1.0</v>
      </c>
      <c r="F13" s="26">
        <f t="shared" si="5"/>
        <v>15</v>
      </c>
      <c r="G13" s="27">
        <v>2.0</v>
      </c>
      <c r="H13" s="24">
        <v>0.0</v>
      </c>
      <c r="I13" s="24">
        <v>1.0</v>
      </c>
      <c r="J13" s="25">
        <v>21.0</v>
      </c>
      <c r="K13" s="26">
        <f t="shared" si="6"/>
        <v>22</v>
      </c>
      <c r="L13" s="27">
        <f t="shared" si="7"/>
        <v>39</v>
      </c>
      <c r="M13" s="33"/>
    </row>
    <row r="14" ht="14.25" customHeight="1">
      <c r="A14" s="34" t="s">
        <v>21</v>
      </c>
      <c r="B14" s="24">
        <v>3.0</v>
      </c>
      <c r="C14" s="24">
        <v>8.0</v>
      </c>
      <c r="D14" s="24">
        <v>1.0</v>
      </c>
      <c r="E14" s="25">
        <v>1.0</v>
      </c>
      <c r="F14" s="26">
        <f t="shared" si="5"/>
        <v>13</v>
      </c>
      <c r="G14" s="27">
        <v>2.0</v>
      </c>
      <c r="H14" s="24">
        <v>0.0</v>
      </c>
      <c r="I14" s="24">
        <v>1.0</v>
      </c>
      <c r="J14" s="25">
        <v>19.0</v>
      </c>
      <c r="K14" s="26">
        <f t="shared" si="6"/>
        <v>20</v>
      </c>
      <c r="L14" s="27">
        <f t="shared" si="7"/>
        <v>35</v>
      </c>
      <c r="M14" s="33"/>
    </row>
    <row r="15" ht="14.25" customHeight="1">
      <c r="A15" s="23" t="s">
        <v>22</v>
      </c>
      <c r="B15" s="35">
        <f t="shared" ref="B15:L15" si="8">IFERROR((B6+B9+B13)-B12-B8,0)</f>
        <v>33</v>
      </c>
      <c r="C15" s="35">
        <f t="shared" si="8"/>
        <v>33</v>
      </c>
      <c r="D15" s="35">
        <f t="shared" si="8"/>
        <v>13</v>
      </c>
      <c r="E15" s="36">
        <f t="shared" si="8"/>
        <v>13</v>
      </c>
      <c r="F15" s="37">
        <f t="shared" si="8"/>
        <v>92</v>
      </c>
      <c r="G15" s="38">
        <f t="shared" si="8"/>
        <v>6</v>
      </c>
      <c r="H15" s="35">
        <f t="shared" si="8"/>
        <v>0</v>
      </c>
      <c r="I15" s="35">
        <f t="shared" si="8"/>
        <v>3</v>
      </c>
      <c r="J15" s="36">
        <f t="shared" si="8"/>
        <v>91</v>
      </c>
      <c r="K15" s="37">
        <f t="shared" si="8"/>
        <v>94</v>
      </c>
      <c r="L15" s="38">
        <f t="shared" si="8"/>
        <v>192</v>
      </c>
      <c r="M15" s="33"/>
    </row>
    <row r="16" ht="14.25" customHeight="1">
      <c r="A16" s="23" t="s">
        <v>23</v>
      </c>
      <c r="B16" s="35">
        <f t="shared" ref="B16:L16" si="9">IFERROR(B7+B10+B14,0)</f>
        <v>30</v>
      </c>
      <c r="C16" s="35">
        <f t="shared" si="9"/>
        <v>29</v>
      </c>
      <c r="D16" s="35">
        <f t="shared" si="9"/>
        <v>10</v>
      </c>
      <c r="E16" s="36">
        <f t="shared" si="9"/>
        <v>12</v>
      </c>
      <c r="F16" s="37">
        <f t="shared" si="9"/>
        <v>81</v>
      </c>
      <c r="G16" s="38">
        <f t="shared" si="9"/>
        <v>5</v>
      </c>
      <c r="H16" s="35">
        <f t="shared" si="9"/>
        <v>0</v>
      </c>
      <c r="I16" s="35">
        <f t="shared" si="9"/>
        <v>3</v>
      </c>
      <c r="J16" s="36">
        <f t="shared" si="9"/>
        <v>84</v>
      </c>
      <c r="K16" s="37">
        <f t="shared" si="9"/>
        <v>87</v>
      </c>
      <c r="L16" s="38">
        <f t="shared" si="9"/>
        <v>173</v>
      </c>
      <c r="M16" s="33"/>
    </row>
    <row r="17" ht="14.25" customHeight="1">
      <c r="A17" s="28" t="s">
        <v>24</v>
      </c>
      <c r="B17" s="29">
        <f t="shared" ref="B17:L17" si="10">IFERROR(B16/B15,0)</f>
        <v>0.9090909091</v>
      </c>
      <c r="C17" s="29">
        <f t="shared" si="10"/>
        <v>0.8787878788</v>
      </c>
      <c r="D17" s="29">
        <f t="shared" si="10"/>
        <v>0.7692307692</v>
      </c>
      <c r="E17" s="30">
        <f t="shared" si="10"/>
        <v>0.9230769231</v>
      </c>
      <c r="F17" s="31">
        <f t="shared" si="10"/>
        <v>0.8804347826</v>
      </c>
      <c r="G17" s="32">
        <f t="shared" si="10"/>
        <v>0.8333333333</v>
      </c>
      <c r="H17" s="29">
        <f t="shared" si="10"/>
        <v>0</v>
      </c>
      <c r="I17" s="29">
        <f t="shared" si="10"/>
        <v>1</v>
      </c>
      <c r="J17" s="30">
        <f t="shared" si="10"/>
        <v>0.9230769231</v>
      </c>
      <c r="K17" s="31">
        <f t="shared" si="10"/>
        <v>0.9255319149</v>
      </c>
      <c r="L17" s="32">
        <f t="shared" si="10"/>
        <v>0.9010416667</v>
      </c>
      <c r="M17" s="33"/>
    </row>
    <row r="18" ht="14.25" customHeight="1">
      <c r="A18" s="34" t="s">
        <v>25</v>
      </c>
      <c r="B18" s="24">
        <v>0.0</v>
      </c>
      <c r="C18" s="24">
        <v>0.0</v>
      </c>
      <c r="D18" s="24">
        <v>0.0</v>
      </c>
      <c r="E18" s="25">
        <v>0.0</v>
      </c>
      <c r="F18" s="26">
        <f t="shared" ref="F18:F19" si="11">SUM(B18:E18)</f>
        <v>0</v>
      </c>
      <c r="G18" s="27">
        <v>0.0</v>
      </c>
      <c r="H18" s="24">
        <v>0.0</v>
      </c>
      <c r="I18" s="24">
        <v>0.0</v>
      </c>
      <c r="J18" s="25">
        <v>0.0</v>
      </c>
      <c r="K18" s="26">
        <f t="shared" ref="K18:K19" si="12">SUM(I18:J18)</f>
        <v>0</v>
      </c>
      <c r="L18" s="27">
        <f t="shared" ref="L18:L19" si="13">F18+SUM(G18:H18)+K18</f>
        <v>0</v>
      </c>
      <c r="M18" s="33"/>
    </row>
    <row r="19" ht="14.25" customHeight="1">
      <c r="A19" s="34" t="s">
        <v>26</v>
      </c>
      <c r="B19" s="24">
        <v>0.0</v>
      </c>
      <c r="C19" s="24">
        <v>0.0</v>
      </c>
      <c r="D19" s="24">
        <v>0.0</v>
      </c>
      <c r="E19" s="25">
        <v>0.0</v>
      </c>
      <c r="F19" s="26">
        <f t="shared" si="11"/>
        <v>0</v>
      </c>
      <c r="G19" s="27">
        <v>0.0</v>
      </c>
      <c r="H19" s="24">
        <v>0.0</v>
      </c>
      <c r="I19" s="24">
        <v>0.0</v>
      </c>
      <c r="J19" s="25">
        <v>0.0</v>
      </c>
      <c r="K19" s="26">
        <f t="shared" si="12"/>
        <v>0</v>
      </c>
      <c r="L19" s="27">
        <f t="shared" si="13"/>
        <v>0</v>
      </c>
      <c r="M19" s="33"/>
    </row>
    <row r="20" ht="14.25" customHeight="1">
      <c r="A20" s="28" t="s">
        <v>27</v>
      </c>
      <c r="B20" s="29">
        <f t="shared" ref="B20:L20" si="14">IFERROR(B19/B18,0)</f>
        <v>0</v>
      </c>
      <c r="C20" s="29">
        <f t="shared" si="14"/>
        <v>0</v>
      </c>
      <c r="D20" s="29">
        <f t="shared" si="14"/>
        <v>0</v>
      </c>
      <c r="E20" s="30">
        <f t="shared" si="14"/>
        <v>0</v>
      </c>
      <c r="F20" s="31">
        <f t="shared" si="14"/>
        <v>0</v>
      </c>
      <c r="G20" s="32">
        <f t="shared" si="14"/>
        <v>0</v>
      </c>
      <c r="H20" s="29">
        <f t="shared" si="14"/>
        <v>0</v>
      </c>
      <c r="I20" s="29">
        <f t="shared" si="14"/>
        <v>0</v>
      </c>
      <c r="J20" s="30">
        <f t="shared" si="14"/>
        <v>0</v>
      </c>
      <c r="K20" s="31">
        <f t="shared" si="14"/>
        <v>0</v>
      </c>
      <c r="L20" s="32">
        <f t="shared" si="14"/>
        <v>0</v>
      </c>
      <c r="M20" s="33"/>
    </row>
    <row r="21" ht="14.25" customHeight="1">
      <c r="A21" s="39" t="s">
        <v>28</v>
      </c>
      <c r="B21" s="40">
        <f t="shared" ref="B21:L21" si="15">IFERROR((B19+B7+B10+B14)/(B6+B9+B18+B13-B8),0)</f>
        <v>0.9090909091</v>
      </c>
      <c r="C21" s="40">
        <f t="shared" si="15"/>
        <v>0.8787878788</v>
      </c>
      <c r="D21" s="40">
        <f t="shared" si="15"/>
        <v>0.7692307692</v>
      </c>
      <c r="E21" s="41">
        <f t="shared" si="15"/>
        <v>0.9230769231</v>
      </c>
      <c r="F21" s="42">
        <f t="shared" si="15"/>
        <v>0.8804347826</v>
      </c>
      <c r="G21" s="43">
        <f t="shared" si="15"/>
        <v>0.8333333333</v>
      </c>
      <c r="H21" s="40">
        <f t="shared" si="15"/>
        <v>0</v>
      </c>
      <c r="I21" s="40">
        <f t="shared" si="15"/>
        <v>1</v>
      </c>
      <c r="J21" s="41">
        <f t="shared" si="15"/>
        <v>0.9230769231</v>
      </c>
      <c r="K21" s="42">
        <f t="shared" si="15"/>
        <v>0.9255319149</v>
      </c>
      <c r="L21" s="43">
        <f t="shared" si="15"/>
        <v>0.9010416667</v>
      </c>
      <c r="M21" s="33"/>
    </row>
    <row r="22" ht="14.25" customHeight="1">
      <c r="A22" s="23" t="s">
        <v>29</v>
      </c>
      <c r="B22" s="24">
        <f t="shared" ref="B22:L22" si="16">IFERROR((B6+B9+B13+B18-B8)-B12,0)</f>
        <v>33</v>
      </c>
      <c r="C22" s="24">
        <f t="shared" si="16"/>
        <v>33</v>
      </c>
      <c r="D22" s="24">
        <f t="shared" si="16"/>
        <v>13</v>
      </c>
      <c r="E22" s="25">
        <f t="shared" si="16"/>
        <v>13</v>
      </c>
      <c r="F22" s="26">
        <f t="shared" si="16"/>
        <v>92</v>
      </c>
      <c r="G22" s="27">
        <f t="shared" si="16"/>
        <v>6</v>
      </c>
      <c r="H22" s="24">
        <f t="shared" si="16"/>
        <v>0</v>
      </c>
      <c r="I22" s="24">
        <f t="shared" si="16"/>
        <v>3</v>
      </c>
      <c r="J22" s="25">
        <f t="shared" si="16"/>
        <v>91</v>
      </c>
      <c r="K22" s="26">
        <f t="shared" si="16"/>
        <v>94</v>
      </c>
      <c r="L22" s="27">
        <f t="shared" si="16"/>
        <v>192</v>
      </c>
      <c r="M22" s="33"/>
    </row>
    <row r="23" ht="14.25" customHeight="1">
      <c r="A23" s="23" t="s">
        <v>30</v>
      </c>
      <c r="B23" s="24">
        <f t="shared" ref="B23:L23" si="17">IFERROR(B7+B10+B14+B19,0)</f>
        <v>30</v>
      </c>
      <c r="C23" s="24">
        <f t="shared" si="17"/>
        <v>29</v>
      </c>
      <c r="D23" s="24">
        <f t="shared" si="17"/>
        <v>10</v>
      </c>
      <c r="E23" s="25">
        <f t="shared" si="17"/>
        <v>12</v>
      </c>
      <c r="F23" s="26">
        <f t="shared" si="17"/>
        <v>81</v>
      </c>
      <c r="G23" s="27">
        <f t="shared" si="17"/>
        <v>5</v>
      </c>
      <c r="H23" s="24">
        <f t="shared" si="17"/>
        <v>0</v>
      </c>
      <c r="I23" s="24">
        <f t="shared" si="17"/>
        <v>3</v>
      </c>
      <c r="J23" s="25">
        <f t="shared" si="17"/>
        <v>84</v>
      </c>
      <c r="K23" s="26">
        <f t="shared" si="17"/>
        <v>87</v>
      </c>
      <c r="L23" s="27">
        <f t="shared" si="17"/>
        <v>173</v>
      </c>
      <c r="M23" s="33"/>
    </row>
    <row r="24" ht="14.25" customHeight="1">
      <c r="A24" s="44" t="s">
        <v>31</v>
      </c>
      <c r="B24" s="45">
        <f t="shared" ref="B24:L24" si="18">IFERROR(B23/B22,0)</f>
        <v>0.9090909091</v>
      </c>
      <c r="C24" s="45">
        <f t="shared" si="18"/>
        <v>0.8787878788</v>
      </c>
      <c r="D24" s="45">
        <f t="shared" si="18"/>
        <v>0.7692307692</v>
      </c>
      <c r="E24" s="46">
        <f t="shared" si="18"/>
        <v>0.9230769231</v>
      </c>
      <c r="F24" s="47">
        <f t="shared" si="18"/>
        <v>0.8804347826</v>
      </c>
      <c r="G24" s="48">
        <f t="shared" si="18"/>
        <v>0.8333333333</v>
      </c>
      <c r="H24" s="45">
        <f t="shared" si="18"/>
        <v>0</v>
      </c>
      <c r="I24" s="45">
        <f t="shared" si="18"/>
        <v>1</v>
      </c>
      <c r="J24" s="46">
        <f t="shared" si="18"/>
        <v>0.9230769231</v>
      </c>
      <c r="K24" s="47">
        <f t="shared" si="18"/>
        <v>0.9255319149</v>
      </c>
      <c r="L24" s="48">
        <f t="shared" si="18"/>
        <v>0.9010416667</v>
      </c>
      <c r="M24" s="33"/>
    </row>
    <row r="25" ht="14.25" customHeight="1">
      <c r="A25" s="34" t="s">
        <v>32</v>
      </c>
      <c r="B25" s="25">
        <v>463.0</v>
      </c>
      <c r="C25" s="4"/>
      <c r="D25" s="25">
        <v>507.0</v>
      </c>
      <c r="E25" s="3"/>
      <c r="F25" s="26">
        <f>SUM(B25+D25)</f>
        <v>970</v>
      </c>
      <c r="G25" s="49">
        <v>61.0</v>
      </c>
      <c r="H25" s="4"/>
      <c r="I25" s="25">
        <v>797.0</v>
      </c>
      <c r="J25" s="3"/>
      <c r="K25" s="26">
        <f>I25</f>
        <v>797</v>
      </c>
      <c r="L25" s="27">
        <f>SUM(F25,G25,K25)</f>
        <v>1828</v>
      </c>
      <c r="M25" s="33"/>
    </row>
    <row r="26" ht="14.25" customHeight="1">
      <c r="A26" s="34" t="s">
        <v>33</v>
      </c>
      <c r="B26" s="50">
        <f>B25/9.3</f>
        <v>49.78494624</v>
      </c>
      <c r="C26" s="4"/>
      <c r="D26" s="50">
        <f>D25/9.3</f>
        <v>54.51612903</v>
      </c>
      <c r="E26" s="4"/>
      <c r="F26" s="51">
        <f t="shared" ref="F26:G26" si="19">F25/9.3</f>
        <v>104.3010753</v>
      </c>
      <c r="G26" s="52">
        <f t="shared" si="19"/>
        <v>6.559139785</v>
      </c>
      <c r="H26" s="4"/>
      <c r="I26" s="52">
        <f>I25/9.3</f>
        <v>85.69892473</v>
      </c>
      <c r="J26" s="4"/>
      <c r="K26" s="51">
        <f t="shared" ref="K26:L26" si="20">K25/9.3</f>
        <v>85.69892473</v>
      </c>
      <c r="L26" s="53">
        <f t="shared" si="20"/>
        <v>196.5591398</v>
      </c>
      <c r="M26" s="33"/>
    </row>
    <row r="27" ht="14.25" customHeight="1">
      <c r="A27" s="54" t="s">
        <v>34</v>
      </c>
      <c r="B27" s="55">
        <f t="shared" ref="B27:L27" si="21">IFERROR(B23/B26,0)</f>
        <v>0.6025917927</v>
      </c>
      <c r="C27" s="55">
        <f t="shared" si="21"/>
        <v>0</v>
      </c>
      <c r="D27" s="55">
        <f t="shared" si="21"/>
        <v>0.1834319527</v>
      </c>
      <c r="E27" s="56">
        <f t="shared" si="21"/>
        <v>0</v>
      </c>
      <c r="F27" s="57">
        <f t="shared" si="21"/>
        <v>0.7765979381</v>
      </c>
      <c r="G27" s="58">
        <f t="shared" si="21"/>
        <v>0.762295082</v>
      </c>
      <c r="H27" s="55">
        <f t="shared" si="21"/>
        <v>0</v>
      </c>
      <c r="I27" s="55">
        <f t="shared" si="21"/>
        <v>0.03500627353</v>
      </c>
      <c r="J27" s="56">
        <f t="shared" si="21"/>
        <v>0</v>
      </c>
      <c r="K27" s="57">
        <f t="shared" si="21"/>
        <v>1.015181932</v>
      </c>
      <c r="L27" s="58">
        <f t="shared" si="21"/>
        <v>0.8801422319</v>
      </c>
      <c r="M27" s="33"/>
    </row>
    <row r="28" ht="14.25" customHeight="1">
      <c r="A28" s="28" t="s">
        <v>35</v>
      </c>
      <c r="B28" s="29">
        <v>0.916</v>
      </c>
      <c r="C28" s="29">
        <v>0.918</v>
      </c>
      <c r="D28" s="29">
        <v>0.905</v>
      </c>
      <c r="E28" s="29">
        <v>0.916</v>
      </c>
      <c r="F28" s="31">
        <f>AVERAGE(B28:E28)</f>
        <v>0.91375</v>
      </c>
      <c r="G28" s="29">
        <v>0.917</v>
      </c>
      <c r="H28" s="29"/>
      <c r="I28" s="29">
        <v>0.85</v>
      </c>
      <c r="J28" s="29">
        <v>0.9</v>
      </c>
      <c r="K28" s="31">
        <f>AVERAGE(I28:J28)</f>
        <v>0.875</v>
      </c>
      <c r="L28" s="32">
        <f>AVERAGE(B28:E28,G28,I28:J28)</f>
        <v>0.9031428571</v>
      </c>
      <c r="M28" s="33"/>
    </row>
    <row r="29" ht="14.25" customHeight="1">
      <c r="A29" s="28" t="s">
        <v>36</v>
      </c>
      <c r="B29" s="29">
        <f t="shared" ref="B29:L29" si="22">IFERROR(B24-B28,0)</f>
        <v>-0.006909090909</v>
      </c>
      <c r="C29" s="29">
        <f t="shared" si="22"/>
        <v>-0.03921212121</v>
      </c>
      <c r="D29" s="29">
        <f t="shared" si="22"/>
        <v>-0.1357692308</v>
      </c>
      <c r="E29" s="30">
        <f t="shared" si="22"/>
        <v>0.007076923077</v>
      </c>
      <c r="F29" s="31">
        <f t="shared" si="22"/>
        <v>-0.03331521739</v>
      </c>
      <c r="G29" s="32">
        <f t="shared" si="22"/>
        <v>-0.08366666667</v>
      </c>
      <c r="H29" s="29">
        <f t="shared" si="22"/>
        <v>0</v>
      </c>
      <c r="I29" s="29">
        <f t="shared" si="22"/>
        <v>0.15</v>
      </c>
      <c r="J29" s="30">
        <f t="shared" si="22"/>
        <v>0.02307692308</v>
      </c>
      <c r="K29" s="31">
        <f t="shared" si="22"/>
        <v>0.05053191489</v>
      </c>
      <c r="L29" s="32">
        <f t="shared" si="22"/>
        <v>-0.002101190476</v>
      </c>
      <c r="M29" s="33"/>
    </row>
    <row r="30" ht="14.25" customHeight="1">
      <c r="A30" s="23" t="s">
        <v>37</v>
      </c>
      <c r="B30" s="59">
        <f t="shared" ref="B30:L30" si="23">IFERROR(B23*9.3,0)</f>
        <v>279</v>
      </c>
      <c r="C30" s="59">
        <f t="shared" si="23"/>
        <v>269.7</v>
      </c>
      <c r="D30" s="59">
        <f t="shared" si="23"/>
        <v>93</v>
      </c>
      <c r="E30" s="60">
        <f t="shared" si="23"/>
        <v>111.6</v>
      </c>
      <c r="F30" s="61">
        <f t="shared" si="23"/>
        <v>753.3</v>
      </c>
      <c r="G30" s="62">
        <f t="shared" si="23"/>
        <v>46.5</v>
      </c>
      <c r="H30" s="59">
        <f t="shared" si="23"/>
        <v>0</v>
      </c>
      <c r="I30" s="59">
        <f t="shared" si="23"/>
        <v>27.9</v>
      </c>
      <c r="J30" s="60">
        <f t="shared" si="23"/>
        <v>781.2</v>
      </c>
      <c r="K30" s="61">
        <f t="shared" si="23"/>
        <v>809.1</v>
      </c>
      <c r="L30" s="62">
        <f t="shared" si="23"/>
        <v>1608.9</v>
      </c>
      <c r="M30" s="33"/>
    </row>
    <row r="31" ht="14.25" customHeight="1">
      <c r="A31" s="63" t="s">
        <v>38</v>
      </c>
      <c r="B31" s="64">
        <f t="shared" ref="B31:K31" si="24">IFERROR(B30-B25,0)</f>
        <v>-184</v>
      </c>
      <c r="C31" s="64">
        <f t="shared" si="24"/>
        <v>269.7</v>
      </c>
      <c r="D31" s="64">
        <f t="shared" si="24"/>
        <v>-414</v>
      </c>
      <c r="E31" s="65">
        <f t="shared" si="24"/>
        <v>111.6</v>
      </c>
      <c r="F31" s="66">
        <f t="shared" si="24"/>
        <v>-216.7</v>
      </c>
      <c r="G31" s="67">
        <f t="shared" si="24"/>
        <v>-14.5</v>
      </c>
      <c r="H31" s="64">
        <f t="shared" si="24"/>
        <v>0</v>
      </c>
      <c r="I31" s="64">
        <f t="shared" si="24"/>
        <v>-769.1</v>
      </c>
      <c r="J31" s="65">
        <f t="shared" si="24"/>
        <v>781.2</v>
      </c>
      <c r="K31" s="66">
        <f t="shared" si="24"/>
        <v>12.1</v>
      </c>
      <c r="L31" s="67">
        <f>SUM(F31,G31:H31,K31)</f>
        <v>-219.1</v>
      </c>
      <c r="M31" s="33"/>
    </row>
    <row r="32" ht="14.25" customHeight="1">
      <c r="A32" s="68" t="s">
        <v>39</v>
      </c>
      <c r="B32" s="69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ht="27.75" customHeight="1">
      <c r="A33" s="70" t="s">
        <v>40</v>
      </c>
      <c r="B33" s="71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ht="14.25" customHeight="1">
      <c r="A34" s="72" t="s">
        <v>41</v>
      </c>
      <c r="B34" s="73">
        <f t="shared" ref="B34:L34" si="25">B22-B23</f>
        <v>3</v>
      </c>
      <c r="C34" s="73">
        <f t="shared" si="25"/>
        <v>4</v>
      </c>
      <c r="D34" s="73">
        <f t="shared" si="25"/>
        <v>3</v>
      </c>
      <c r="E34" s="73">
        <f t="shared" si="25"/>
        <v>1</v>
      </c>
      <c r="F34" s="73">
        <f t="shared" si="25"/>
        <v>11</v>
      </c>
      <c r="G34" s="73">
        <f t="shared" si="25"/>
        <v>1</v>
      </c>
      <c r="H34" s="73">
        <f t="shared" si="25"/>
        <v>0</v>
      </c>
      <c r="I34" s="73">
        <f t="shared" si="25"/>
        <v>0</v>
      </c>
      <c r="J34" s="73">
        <f t="shared" si="25"/>
        <v>7</v>
      </c>
      <c r="K34" s="73">
        <f t="shared" si="25"/>
        <v>7</v>
      </c>
      <c r="L34" s="73">
        <f t="shared" si="25"/>
        <v>19</v>
      </c>
    </row>
    <row r="35" ht="14.25" customHeight="1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</row>
    <row r="36" ht="14.25" customHeight="1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</row>
    <row r="37" ht="14.25" customHeight="1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</row>
    <row r="38" ht="14.25" customHeight="1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</row>
    <row r="39" ht="14.25" customHeight="1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ht="14.25" customHeight="1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ht="14.25" customHeight="1"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</row>
    <row r="42" ht="14.25" customHeight="1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ht="14.25" customHeight="1"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ht="14.25" customHeight="1"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ht="14.25" customHeight="1"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ht="14.25" customHeight="1"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ht="14.25" customHeight="1"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ht="14.25" customHeight="1"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ht="14.25" customHeight="1"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</row>
    <row r="50" ht="14.25" customHeight="1"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 ht="14.25" customHeight="1"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ht="14.25" customHeight="1"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</row>
    <row r="53" ht="14.25" customHeight="1"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N53" s="75"/>
    </row>
    <row r="54" ht="14.25" customHeight="1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N54" s="75"/>
    </row>
    <row r="55" ht="14.25" customHeight="1"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N55" s="75"/>
    </row>
    <row r="56" ht="14.25" customHeight="1"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N56" s="75"/>
    </row>
    <row r="57" ht="14.25" customHeight="1"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N57" s="75"/>
    </row>
    <row r="58" ht="14.25" customHeight="1"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N58" s="75"/>
    </row>
    <row r="59" ht="14.25" customHeight="1"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N59" s="75"/>
    </row>
    <row r="60" ht="14.25" customHeight="1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N60" s="75"/>
    </row>
    <row r="61" ht="14.25" customHeight="1"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N61" s="75"/>
    </row>
    <row r="62" ht="14.25" customHeight="1"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N62" s="75"/>
    </row>
    <row r="63" ht="14.25" customHeight="1"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N63" s="75"/>
    </row>
    <row r="64" ht="14.25" customHeight="1"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N64" s="75"/>
    </row>
    <row r="65" ht="14.25" customHeight="1"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N65" s="75"/>
    </row>
    <row r="66" ht="14.25" customHeight="1"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N66" s="75"/>
    </row>
    <row r="67" ht="14.25" customHeight="1"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N67" s="75"/>
    </row>
    <row r="68" ht="14.25" customHeight="1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N68" s="75"/>
    </row>
    <row r="69" ht="14.25" customHeight="1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N69" s="75"/>
    </row>
    <row r="70" ht="14.25" customHeight="1"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N70" s="75"/>
    </row>
    <row r="71" ht="14.25" customHeight="1"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N71" s="75"/>
    </row>
    <row r="72" ht="14.25" customHeight="1"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N72" s="75"/>
    </row>
    <row r="73" ht="14.25" customHeight="1"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N73" s="75"/>
    </row>
    <row r="74" ht="14.25" customHeight="1"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N74" s="75"/>
    </row>
    <row r="75" ht="14.25" customHeight="1"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N75" s="75"/>
    </row>
    <row r="76" ht="14.25" customHeight="1"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N76" s="75"/>
    </row>
    <row r="77" ht="14.25" customHeight="1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N77" s="75"/>
    </row>
    <row r="78" ht="14.25" customHeight="1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N78" s="75"/>
    </row>
    <row r="79" ht="14.25" customHeight="1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N79" s="75"/>
    </row>
    <row r="80" ht="14.25" customHeight="1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N80" s="75"/>
    </row>
    <row r="81" ht="14.25" customHeight="1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N81" s="75"/>
    </row>
    <row r="82" ht="14.25" customHeight="1"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N82" s="75"/>
    </row>
    <row r="83" ht="14.25" customHeight="1"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N83" s="75"/>
    </row>
    <row r="84" ht="14.25" customHeight="1"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N84" s="75"/>
    </row>
    <row r="85" ht="14.25" customHeight="1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N85" s="75"/>
    </row>
    <row r="86" ht="14.25" customHeight="1"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N86" s="75"/>
    </row>
    <row r="87" ht="14.25" customHeight="1"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N87" s="75"/>
    </row>
    <row r="88" ht="14.25" customHeight="1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N88" s="75"/>
    </row>
    <row r="89" ht="14.25" customHeight="1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N89" s="75"/>
    </row>
    <row r="90" ht="14.25" customHeight="1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N90" s="75"/>
    </row>
    <row r="91" ht="14.25" customHeight="1"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N91" s="75"/>
    </row>
    <row r="92" ht="14.25" customHeight="1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N92" s="75"/>
    </row>
    <row r="93" ht="14.25" customHeight="1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N93" s="75"/>
    </row>
    <row r="94" ht="14.25" customHeight="1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N94" s="75"/>
    </row>
    <row r="95" ht="14.25" customHeight="1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N95" s="75"/>
    </row>
    <row r="96" ht="14.25" customHeight="1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N96" s="75"/>
    </row>
    <row r="97" ht="14.25" customHeight="1"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N97" s="75"/>
    </row>
    <row r="98" ht="14.25" customHeight="1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N98" s="75"/>
    </row>
    <row r="99" ht="14.25" customHeight="1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N99" s="75"/>
    </row>
    <row r="100" ht="14.25" customHeight="1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N100" s="75"/>
    </row>
    <row r="101" ht="14.25" customHeight="1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N101" s="75"/>
    </row>
    <row r="102" ht="14.25" customHeight="1"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N102" s="75"/>
    </row>
    <row r="103" ht="14.25" customHeight="1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N103" s="75"/>
    </row>
    <row r="104" ht="14.25" customHeight="1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N104" s="75"/>
    </row>
    <row r="105" ht="14.25" customHeight="1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N105" s="75"/>
    </row>
    <row r="106" ht="14.25" customHeight="1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N106" s="75"/>
    </row>
    <row r="107" ht="14.25" customHeight="1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N107" s="75"/>
    </row>
    <row r="108" ht="14.25" customHeight="1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N108" s="75"/>
    </row>
    <row r="109" ht="14.25" customHeight="1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N109" s="75"/>
    </row>
    <row r="110" ht="14.25" customHeight="1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N110" s="75"/>
    </row>
    <row r="111" ht="14.25" customHeight="1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N111" s="75"/>
    </row>
    <row r="112" ht="14.25" customHeight="1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N112" s="75"/>
    </row>
    <row r="113" ht="14.25" customHeight="1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N113" s="75"/>
    </row>
    <row r="114" ht="14.25" customHeight="1"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N114" s="75"/>
    </row>
    <row r="115" ht="14.25" customHeight="1"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N115" s="75"/>
    </row>
    <row r="116" ht="14.25" customHeight="1"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N116" s="75"/>
    </row>
    <row r="117" ht="14.25" customHeight="1"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N117" s="75"/>
    </row>
    <row r="118" ht="14.25" customHeight="1"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N118" s="75"/>
    </row>
    <row r="119" ht="14.25" customHeight="1"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N119" s="75"/>
    </row>
    <row r="120" ht="14.25" customHeight="1"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N120" s="75"/>
    </row>
    <row r="121" ht="14.25" customHeight="1"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N121" s="75"/>
    </row>
    <row r="122" ht="14.25" customHeight="1"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N122" s="75"/>
    </row>
    <row r="123" ht="14.25" customHeight="1"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N123" s="75"/>
    </row>
    <row r="124" ht="14.25" customHeight="1"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N124" s="75"/>
    </row>
    <row r="125" ht="14.25" customHeight="1"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N125" s="75"/>
    </row>
    <row r="126" ht="14.25" customHeight="1"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N126" s="75"/>
    </row>
    <row r="127" ht="14.25" customHeight="1"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N127" s="75"/>
    </row>
    <row r="128" ht="14.25" customHeight="1"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N128" s="75"/>
    </row>
    <row r="129" ht="14.25" customHeight="1"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N129" s="75"/>
    </row>
    <row r="130" ht="14.25" customHeight="1"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N130" s="75"/>
    </row>
    <row r="131" ht="14.25" customHeight="1"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N131" s="75"/>
    </row>
    <row r="132" ht="14.25" customHeight="1"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N132" s="75"/>
    </row>
    <row r="133" ht="14.25" customHeight="1"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N133" s="75"/>
    </row>
    <row r="134" ht="14.25" customHeight="1"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N134" s="75"/>
    </row>
    <row r="135" ht="14.25" customHeight="1"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N135" s="75"/>
    </row>
    <row r="136" ht="14.25" customHeight="1"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N136" s="75"/>
    </row>
    <row r="137" ht="14.25" customHeight="1"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N137" s="75"/>
    </row>
    <row r="138" ht="14.25" customHeight="1"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N138" s="75"/>
    </row>
    <row r="139" ht="14.25" customHeight="1"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N139" s="75"/>
    </row>
    <row r="140" ht="14.25" customHeight="1"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N140" s="75"/>
    </row>
    <row r="141" ht="14.25" customHeight="1"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N141" s="75"/>
    </row>
    <row r="142" ht="14.25" customHeight="1"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N142" s="75"/>
    </row>
    <row r="143" ht="14.25" customHeight="1"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N143" s="75"/>
    </row>
    <row r="144" ht="14.25" customHeight="1"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N144" s="75"/>
    </row>
    <row r="145" ht="14.25" customHeight="1"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N145" s="75"/>
    </row>
    <row r="146" ht="14.25" customHeight="1"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N146" s="75"/>
    </row>
    <row r="147" ht="14.25" customHeight="1"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N147" s="75"/>
    </row>
    <row r="148" ht="14.25" customHeight="1"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N148" s="75"/>
    </row>
    <row r="149" ht="14.25" customHeight="1"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N149" s="75"/>
    </row>
    <row r="150" ht="14.25" customHeight="1"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N150" s="75"/>
    </row>
    <row r="151" ht="14.25" customHeight="1"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N151" s="75"/>
    </row>
    <row r="152" ht="14.25" customHeight="1"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N152" s="75"/>
    </row>
    <row r="153" ht="14.25" customHeight="1"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N153" s="75"/>
    </row>
    <row r="154" ht="14.25" customHeight="1"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N154" s="75"/>
    </row>
    <row r="155" ht="14.25" customHeight="1"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N155" s="75"/>
    </row>
    <row r="156" ht="14.25" customHeight="1"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N156" s="75"/>
    </row>
    <row r="157" ht="14.25" customHeight="1"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N157" s="75"/>
    </row>
    <row r="158" ht="14.25" customHeight="1"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N158" s="75"/>
    </row>
    <row r="159" ht="14.25" customHeight="1"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N159" s="75"/>
    </row>
    <row r="160" ht="14.25" customHeight="1"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N160" s="75"/>
    </row>
    <row r="161" ht="14.25" customHeight="1"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N161" s="75"/>
    </row>
    <row r="162" ht="14.25" customHeight="1"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N162" s="75"/>
    </row>
    <row r="163" ht="14.25" customHeight="1"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N163" s="75"/>
    </row>
    <row r="164" ht="14.25" customHeight="1"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N164" s="75"/>
    </row>
    <row r="165" ht="14.25" customHeight="1"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N165" s="75"/>
    </row>
    <row r="166" ht="14.25" customHeight="1"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N166" s="75"/>
    </row>
    <row r="167" ht="14.25" customHeight="1"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N167" s="75"/>
    </row>
    <row r="168" ht="14.25" customHeight="1"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N168" s="75"/>
    </row>
    <row r="169" ht="14.25" customHeight="1"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N169" s="75"/>
    </row>
    <row r="170" ht="14.25" customHeight="1"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N170" s="75"/>
    </row>
    <row r="171" ht="14.25" customHeight="1"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N171" s="75"/>
    </row>
    <row r="172" ht="14.25" customHeight="1"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N172" s="75"/>
    </row>
    <row r="173" ht="14.25" customHeight="1"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N173" s="75"/>
    </row>
    <row r="174" ht="14.25" customHeight="1"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N174" s="75"/>
    </row>
    <row r="175" ht="14.25" customHeight="1"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N175" s="75"/>
    </row>
    <row r="176" ht="14.25" customHeight="1"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N176" s="75"/>
    </row>
    <row r="177" ht="14.25" customHeight="1"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N177" s="75"/>
    </row>
    <row r="178" ht="14.25" customHeight="1"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N178" s="75"/>
    </row>
    <row r="179" ht="14.25" customHeight="1"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N179" s="75"/>
    </row>
    <row r="180" ht="14.25" customHeight="1"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N180" s="75"/>
    </row>
    <row r="181" ht="14.25" customHeight="1"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N181" s="75"/>
    </row>
    <row r="182" ht="14.25" customHeight="1"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N182" s="75"/>
    </row>
    <row r="183" ht="14.25" customHeight="1"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N183" s="75"/>
    </row>
    <row r="184" ht="14.25" customHeight="1"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N184" s="75"/>
    </row>
    <row r="185" ht="14.25" customHeight="1"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N185" s="75"/>
    </row>
    <row r="186" ht="14.25" customHeight="1"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N186" s="75"/>
    </row>
    <row r="187" ht="14.25" customHeight="1"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N187" s="75"/>
    </row>
    <row r="188" ht="14.25" customHeight="1"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N188" s="75"/>
    </row>
    <row r="189" ht="14.25" customHeight="1"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N189" s="75"/>
    </row>
    <row r="190" ht="14.25" customHeight="1"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N190" s="75"/>
    </row>
    <row r="191" ht="14.25" customHeight="1"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N191" s="75"/>
    </row>
    <row r="192" ht="14.25" customHeight="1"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N192" s="75"/>
    </row>
    <row r="193" ht="14.25" customHeight="1"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N193" s="75"/>
    </row>
    <row r="194" ht="14.25" customHeight="1"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N194" s="75"/>
    </row>
    <row r="195" ht="14.25" customHeight="1"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N195" s="75"/>
    </row>
    <row r="196" ht="14.25" customHeight="1"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N196" s="75"/>
    </row>
    <row r="197" ht="14.25" customHeight="1"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N197" s="75"/>
    </row>
    <row r="198" ht="14.25" customHeight="1"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N198" s="75"/>
    </row>
    <row r="199" ht="14.25" customHeight="1"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N199" s="75"/>
    </row>
    <row r="200" ht="14.25" customHeight="1"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N200" s="75"/>
    </row>
    <row r="201" ht="14.25" customHeight="1"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N201" s="75"/>
    </row>
    <row r="202" ht="14.25" customHeight="1"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N202" s="75"/>
    </row>
    <row r="203" ht="14.25" customHeight="1"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N203" s="75"/>
    </row>
    <row r="204" ht="14.25" customHeight="1"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N204" s="75"/>
    </row>
    <row r="205" ht="14.25" customHeight="1"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N205" s="75"/>
    </row>
    <row r="206" ht="14.25" customHeight="1"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N206" s="75"/>
    </row>
    <row r="207" ht="14.25" customHeight="1"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N207" s="75"/>
    </row>
    <row r="208" ht="14.25" customHeight="1"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N208" s="75"/>
    </row>
    <row r="209" ht="14.25" customHeight="1"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N209" s="75"/>
    </row>
    <row r="210" ht="14.25" customHeight="1"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N210" s="75"/>
    </row>
    <row r="211" ht="14.25" customHeight="1"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N211" s="75"/>
    </row>
    <row r="212" ht="14.25" customHeight="1"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N212" s="75"/>
    </row>
    <row r="213" ht="14.25" customHeight="1"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N213" s="75"/>
    </row>
    <row r="214" ht="14.25" customHeight="1"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N214" s="75"/>
    </row>
    <row r="215" ht="14.25" customHeight="1"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N215" s="75"/>
    </row>
    <row r="216" ht="14.25" customHeight="1"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N216" s="75"/>
    </row>
    <row r="217" ht="14.25" customHeight="1"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N217" s="75"/>
    </row>
    <row r="218" ht="14.25" customHeight="1"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N218" s="75"/>
    </row>
    <row r="219" ht="14.25" customHeight="1"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N219" s="75"/>
    </row>
    <row r="220" ht="14.25" customHeight="1"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N220" s="75"/>
    </row>
    <row r="221" ht="14.25" customHeight="1"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N221" s="75"/>
    </row>
    <row r="222" ht="14.25" customHeight="1"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N222" s="75"/>
    </row>
    <row r="223" ht="14.25" customHeight="1"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N223" s="75"/>
    </row>
    <row r="224" ht="14.25" customHeight="1"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N224" s="75"/>
    </row>
    <row r="225" ht="14.25" customHeight="1"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N225" s="75"/>
    </row>
    <row r="226" ht="14.25" customHeight="1"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N226" s="75"/>
    </row>
    <row r="227" ht="14.25" customHeight="1"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N227" s="75"/>
    </row>
    <row r="228" ht="14.25" customHeight="1"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N228" s="75"/>
    </row>
    <row r="229" ht="14.25" customHeight="1"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N229" s="75"/>
    </row>
    <row r="230" ht="14.25" customHeight="1"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N230" s="75"/>
    </row>
    <row r="231" ht="14.25" customHeight="1"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N231" s="75"/>
    </row>
    <row r="232" ht="14.25" customHeight="1"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N232" s="75"/>
    </row>
    <row r="233" ht="14.25" customHeight="1"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N233" s="75"/>
    </row>
    <row r="234" ht="14.25" customHeight="1"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N234" s="75"/>
    </row>
    <row r="235" ht="14.25" customHeight="1"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N235" s="75"/>
    </row>
    <row r="236" ht="14.25" customHeight="1"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N236" s="75"/>
    </row>
    <row r="237" ht="14.25" customHeight="1"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N237" s="75"/>
    </row>
    <row r="238" ht="14.25" customHeight="1"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N238" s="75"/>
    </row>
    <row r="239" ht="14.25" customHeight="1"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N239" s="75"/>
    </row>
    <row r="240" ht="14.25" customHeight="1"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N240" s="75"/>
    </row>
    <row r="241" ht="14.25" customHeight="1"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N241" s="75"/>
    </row>
    <row r="242" ht="14.25" customHeight="1"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N242" s="75"/>
    </row>
    <row r="243" ht="14.25" customHeight="1"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N243" s="75"/>
    </row>
    <row r="244" ht="14.25" customHeight="1"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N244" s="75"/>
    </row>
    <row r="245" ht="14.25" customHeight="1"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N245" s="75"/>
    </row>
    <row r="246" ht="14.25" customHeight="1"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N246" s="75"/>
    </row>
    <row r="247" ht="14.25" customHeight="1"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N247" s="75"/>
    </row>
    <row r="248" ht="14.25" customHeight="1"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N248" s="75"/>
    </row>
    <row r="249" ht="14.25" customHeight="1"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N249" s="75"/>
    </row>
    <row r="250" ht="14.25" customHeight="1"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N250" s="75"/>
    </row>
    <row r="251" ht="14.25" customHeight="1"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N251" s="75"/>
    </row>
    <row r="252" ht="14.25" customHeight="1"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N252" s="75"/>
    </row>
    <row r="253" ht="14.25" customHeight="1"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N253" s="75"/>
    </row>
    <row r="254" ht="14.25" customHeight="1"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N254" s="75"/>
    </row>
    <row r="255" ht="14.25" customHeight="1"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N255" s="75"/>
    </row>
    <row r="256" ht="14.25" customHeight="1"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N256" s="75"/>
    </row>
    <row r="257" ht="14.25" customHeight="1"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N257" s="75"/>
    </row>
    <row r="258" ht="14.25" customHeight="1"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N258" s="75"/>
    </row>
    <row r="259" ht="14.25" customHeight="1"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N259" s="75"/>
    </row>
    <row r="260" ht="14.25" customHeight="1"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N260" s="75"/>
    </row>
    <row r="261" ht="14.25" customHeight="1"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N261" s="75"/>
    </row>
    <row r="262" ht="14.25" customHeight="1"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N262" s="75"/>
    </row>
    <row r="263" ht="14.25" customHeight="1"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N263" s="75"/>
    </row>
    <row r="264" ht="14.25" customHeight="1"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N264" s="75"/>
    </row>
    <row r="265" ht="14.25" customHeight="1"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N265" s="75"/>
    </row>
    <row r="266" ht="14.25" customHeight="1"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N266" s="75"/>
    </row>
    <row r="267" ht="14.25" customHeight="1"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N267" s="75"/>
    </row>
    <row r="268" ht="14.25" customHeight="1"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N268" s="75"/>
    </row>
    <row r="269" ht="14.25" customHeight="1"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N269" s="75"/>
    </row>
    <row r="270" ht="14.25" customHeight="1"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N270" s="75"/>
    </row>
    <row r="271" ht="14.25" customHeight="1"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N271" s="75"/>
    </row>
    <row r="272" ht="14.25" customHeight="1"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N272" s="75"/>
    </row>
    <row r="273" ht="14.25" customHeight="1"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N273" s="75"/>
    </row>
    <row r="274" ht="14.25" customHeight="1"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N274" s="75"/>
    </row>
    <row r="275" ht="14.25" customHeight="1"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N275" s="75"/>
    </row>
    <row r="276" ht="14.25" customHeight="1"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N276" s="75"/>
    </row>
    <row r="277" ht="14.25" customHeight="1"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N277" s="75"/>
    </row>
    <row r="278" ht="14.25" customHeight="1"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N278" s="75"/>
    </row>
    <row r="279" ht="14.25" customHeight="1"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N279" s="75"/>
    </row>
    <row r="280" ht="14.25" customHeight="1"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N280" s="75"/>
    </row>
    <row r="281" ht="14.25" customHeight="1"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N281" s="75"/>
    </row>
    <row r="282" ht="14.25" customHeight="1"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N282" s="75"/>
    </row>
    <row r="283" ht="14.25" customHeight="1"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N283" s="75"/>
    </row>
    <row r="284" ht="14.25" customHeight="1"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N284" s="75"/>
    </row>
    <row r="285" ht="14.25" customHeight="1"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N285" s="75"/>
    </row>
    <row r="286" ht="14.25" customHeight="1"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N286" s="75"/>
    </row>
    <row r="287" ht="14.25" customHeight="1"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N287" s="75"/>
    </row>
    <row r="288" ht="14.25" customHeight="1"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N288" s="75"/>
    </row>
    <row r="289" ht="14.25" customHeight="1"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N289" s="75"/>
    </row>
    <row r="290" ht="14.25" customHeight="1"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N290" s="75"/>
    </row>
    <row r="291" ht="14.25" customHeight="1"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N291" s="75"/>
    </row>
    <row r="292" ht="14.25" customHeight="1"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N292" s="75"/>
    </row>
    <row r="293" ht="14.25" customHeight="1"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N293" s="75"/>
    </row>
    <row r="294" ht="14.25" customHeight="1"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N294" s="75"/>
    </row>
    <row r="295" ht="14.25" customHeight="1"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N295" s="75"/>
    </row>
    <row r="296" ht="14.25" customHeight="1"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N296" s="75"/>
    </row>
    <row r="297" ht="14.25" customHeight="1"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N297" s="75"/>
    </row>
    <row r="298" ht="14.25" customHeight="1"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N298" s="75"/>
    </row>
    <row r="299" ht="14.25" customHeight="1"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N299" s="75"/>
    </row>
    <row r="300" ht="14.25" customHeight="1"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N300" s="75"/>
    </row>
    <row r="301" ht="14.25" customHeight="1"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N301" s="75"/>
    </row>
    <row r="302" ht="14.25" customHeight="1"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N302" s="75"/>
    </row>
    <row r="303" ht="14.25" customHeight="1"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N303" s="75"/>
    </row>
    <row r="304" ht="14.25" customHeight="1"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N304" s="75"/>
    </row>
    <row r="305" ht="14.25" customHeight="1"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N305" s="75"/>
    </row>
    <row r="306" ht="14.25" customHeight="1"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N306" s="75"/>
    </row>
    <row r="307" ht="14.25" customHeight="1"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N307" s="75"/>
    </row>
    <row r="308" ht="14.25" customHeight="1"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N308" s="75"/>
    </row>
    <row r="309" ht="14.25" customHeight="1"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N309" s="75"/>
    </row>
    <row r="310" ht="14.25" customHeight="1"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N310" s="75"/>
    </row>
    <row r="311" ht="14.25" customHeight="1"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N311" s="75"/>
    </row>
    <row r="312" ht="14.25" customHeight="1"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N312" s="75"/>
    </row>
    <row r="313" ht="14.25" customHeight="1"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N313" s="75"/>
    </row>
    <row r="314" ht="14.25" customHeight="1"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N314" s="75"/>
    </row>
    <row r="315" ht="14.25" customHeight="1"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N315" s="75"/>
    </row>
    <row r="316" ht="14.25" customHeight="1"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N316" s="75"/>
    </row>
    <row r="317" ht="14.25" customHeight="1"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N317" s="75"/>
    </row>
    <row r="318" ht="14.25" customHeight="1"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N318" s="75"/>
    </row>
    <row r="319" ht="14.25" customHeight="1"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N319" s="75"/>
    </row>
    <row r="320" ht="14.25" customHeight="1"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N320" s="75"/>
    </row>
    <row r="321" ht="14.25" customHeight="1"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N321" s="75"/>
    </row>
    <row r="322" ht="14.25" customHeight="1"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N322" s="75"/>
    </row>
    <row r="323" ht="14.25" customHeight="1"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N323" s="75"/>
    </row>
    <row r="324" ht="14.25" customHeight="1"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N324" s="75"/>
    </row>
    <row r="325" ht="14.25" customHeight="1"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N325" s="75"/>
    </row>
    <row r="326" ht="14.25" customHeight="1"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N326" s="75"/>
    </row>
    <row r="327" ht="14.25" customHeight="1"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N327" s="75"/>
    </row>
    <row r="328" ht="14.25" customHeight="1"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N328" s="75"/>
    </row>
    <row r="329" ht="14.25" customHeight="1"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N329" s="75"/>
    </row>
    <row r="330" ht="14.25" customHeight="1"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N330" s="75"/>
    </row>
    <row r="331" ht="14.25" customHeight="1"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N331" s="75"/>
    </row>
    <row r="332" ht="14.25" customHeight="1"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N332" s="75"/>
    </row>
    <row r="333" ht="14.25" customHeight="1"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N333" s="75"/>
    </row>
    <row r="334" ht="14.25" customHeight="1"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N334" s="75"/>
    </row>
    <row r="335" ht="14.25" customHeight="1"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N335" s="75"/>
    </row>
    <row r="336" ht="14.25" customHeight="1"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N336" s="75"/>
    </row>
    <row r="337" ht="14.25" customHeight="1"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N337" s="75"/>
    </row>
    <row r="338" ht="14.25" customHeight="1"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N338" s="75"/>
    </row>
    <row r="339" ht="14.25" customHeight="1"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N339" s="75"/>
    </row>
    <row r="340" ht="14.25" customHeight="1"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N340" s="75"/>
    </row>
    <row r="341" ht="14.25" customHeight="1"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N341" s="75"/>
    </row>
    <row r="342" ht="14.25" customHeight="1"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N342" s="75"/>
    </row>
    <row r="343" ht="14.25" customHeight="1"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N343" s="75"/>
    </row>
    <row r="344" ht="14.25" customHeight="1"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N344" s="75"/>
    </row>
    <row r="345" ht="14.25" customHeight="1"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N345" s="75"/>
    </row>
    <row r="346" ht="14.25" customHeight="1"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N346" s="75"/>
    </row>
    <row r="347" ht="14.25" customHeight="1"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N347" s="75"/>
    </row>
    <row r="348" ht="14.25" customHeight="1"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N348" s="75"/>
    </row>
    <row r="349" ht="14.25" customHeight="1"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N349" s="75"/>
    </row>
    <row r="350" ht="14.25" customHeight="1"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N350" s="75"/>
    </row>
    <row r="351" ht="14.25" customHeight="1"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N351" s="75"/>
    </row>
    <row r="352" ht="14.25" customHeight="1"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N352" s="75"/>
    </row>
    <row r="353" ht="14.25" customHeight="1"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N353" s="75"/>
    </row>
    <row r="354" ht="14.25" customHeight="1"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N354" s="75"/>
    </row>
    <row r="355" ht="14.25" customHeight="1"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N355" s="75"/>
    </row>
    <row r="356" ht="14.25" customHeight="1"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N356" s="75"/>
    </row>
    <row r="357" ht="14.25" customHeight="1"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N357" s="75"/>
    </row>
    <row r="358" ht="14.25" customHeight="1"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N358" s="75"/>
    </row>
    <row r="359" ht="14.25" customHeight="1"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N359" s="75"/>
    </row>
    <row r="360" ht="14.25" customHeight="1"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N360" s="75"/>
    </row>
    <row r="361" ht="14.25" customHeight="1"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N361" s="75"/>
    </row>
    <row r="362" ht="14.25" customHeight="1"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N362" s="75"/>
    </row>
    <row r="363" ht="14.25" customHeight="1"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N363" s="75"/>
    </row>
    <row r="364" ht="14.25" customHeight="1"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N364" s="75"/>
    </row>
    <row r="365" ht="14.25" customHeight="1"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N365" s="75"/>
    </row>
    <row r="366" ht="14.25" customHeight="1"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N366" s="75"/>
    </row>
    <row r="367" ht="14.25" customHeight="1"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N367" s="75"/>
    </row>
    <row r="368" ht="14.25" customHeight="1"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N368" s="75"/>
    </row>
    <row r="369" ht="14.25" customHeight="1"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N369" s="75"/>
    </row>
    <row r="370" ht="14.25" customHeight="1"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N370" s="75"/>
    </row>
    <row r="371" ht="14.25" customHeight="1"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N371" s="75"/>
    </row>
    <row r="372" ht="14.25" customHeight="1"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N372" s="75"/>
    </row>
    <row r="373" ht="14.25" customHeight="1"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N373" s="75"/>
    </row>
    <row r="374" ht="14.25" customHeight="1"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N374" s="75"/>
    </row>
    <row r="375" ht="14.25" customHeight="1"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N375" s="75"/>
    </row>
    <row r="376" ht="14.25" customHeight="1"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N376" s="75"/>
    </row>
    <row r="377" ht="14.25" customHeight="1"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N377" s="75"/>
    </row>
    <row r="378" ht="14.25" customHeight="1"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N378" s="75"/>
    </row>
    <row r="379" ht="14.25" customHeight="1"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N379" s="75"/>
    </row>
    <row r="380" ht="14.25" customHeight="1"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N380" s="75"/>
    </row>
    <row r="381" ht="14.25" customHeight="1"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N381" s="75"/>
    </row>
    <row r="382" ht="14.25" customHeight="1"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N382" s="75"/>
    </row>
    <row r="383" ht="14.25" customHeight="1"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N383" s="75"/>
    </row>
    <row r="384" ht="14.25" customHeight="1"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N384" s="75"/>
    </row>
    <row r="385" ht="14.25" customHeight="1"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N385" s="75"/>
    </row>
    <row r="386" ht="14.25" customHeight="1"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N386" s="75"/>
    </row>
    <row r="387" ht="14.25" customHeight="1"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N387" s="75"/>
    </row>
    <row r="388" ht="14.25" customHeight="1"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N388" s="75"/>
    </row>
    <row r="389" ht="14.25" customHeight="1"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N389" s="75"/>
    </row>
    <row r="390" ht="14.25" customHeight="1"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N390" s="75"/>
    </row>
    <row r="391" ht="14.25" customHeight="1"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N391" s="75"/>
    </row>
    <row r="392" ht="14.25" customHeight="1"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N392" s="75"/>
    </row>
    <row r="393" ht="14.25" customHeight="1"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N393" s="75"/>
    </row>
    <row r="394" ht="14.25" customHeight="1"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N394" s="75"/>
    </row>
    <row r="395" ht="14.25" customHeight="1"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N395" s="75"/>
    </row>
    <row r="396" ht="14.25" customHeight="1"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N396" s="75"/>
    </row>
    <row r="397" ht="14.25" customHeight="1"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N397" s="75"/>
    </row>
    <row r="398" ht="14.25" customHeight="1"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N398" s="75"/>
    </row>
    <row r="399" ht="14.25" customHeight="1"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N399" s="75"/>
    </row>
    <row r="400" ht="14.25" customHeight="1"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N400" s="75"/>
    </row>
    <row r="401" ht="14.25" customHeight="1"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N401" s="75"/>
    </row>
    <row r="402" ht="14.25" customHeight="1"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N402" s="75"/>
    </row>
    <row r="403" ht="14.25" customHeight="1"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N403" s="75"/>
    </row>
    <row r="404" ht="14.25" customHeight="1"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N404" s="75"/>
    </row>
    <row r="405" ht="14.25" customHeight="1"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N405" s="75"/>
    </row>
    <row r="406" ht="14.25" customHeight="1"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N406" s="75"/>
    </row>
    <row r="407" ht="14.25" customHeight="1"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N407" s="75"/>
    </row>
    <row r="408" ht="14.25" customHeight="1"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N408" s="75"/>
    </row>
    <row r="409" ht="14.25" customHeight="1"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N409" s="75"/>
    </row>
    <row r="410" ht="14.25" customHeight="1"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N410" s="75"/>
    </row>
    <row r="411" ht="14.25" customHeight="1"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N411" s="75"/>
    </row>
    <row r="412" ht="14.25" customHeight="1"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N412" s="75"/>
    </row>
    <row r="413" ht="14.25" customHeight="1"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N413" s="75"/>
    </row>
    <row r="414" ht="14.25" customHeight="1"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N414" s="75"/>
    </row>
    <row r="415" ht="14.25" customHeight="1"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N415" s="75"/>
    </row>
    <row r="416" ht="14.25" customHeight="1"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N416" s="75"/>
    </row>
    <row r="417" ht="14.25" customHeight="1"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N417" s="75"/>
    </row>
    <row r="418" ht="14.25" customHeight="1"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N418" s="75"/>
    </row>
    <row r="419" ht="14.25" customHeight="1"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N419" s="75"/>
    </row>
    <row r="420" ht="14.25" customHeight="1"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N420" s="75"/>
    </row>
    <row r="421" ht="14.25" customHeight="1"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N421" s="75"/>
    </row>
    <row r="422" ht="14.25" customHeight="1"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N422" s="75"/>
    </row>
    <row r="423" ht="14.25" customHeight="1"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N423" s="75"/>
    </row>
    <row r="424" ht="14.25" customHeight="1"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N424" s="75"/>
    </row>
    <row r="425" ht="14.25" customHeight="1"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N425" s="75"/>
    </row>
    <row r="426" ht="14.25" customHeight="1"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N426" s="75"/>
    </row>
    <row r="427" ht="14.25" customHeight="1"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N427" s="75"/>
    </row>
    <row r="428" ht="14.25" customHeight="1"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N428" s="75"/>
    </row>
    <row r="429" ht="14.25" customHeight="1"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N429" s="75"/>
    </row>
    <row r="430" ht="14.25" customHeight="1"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N430" s="75"/>
    </row>
    <row r="431" ht="14.25" customHeight="1"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N431" s="75"/>
    </row>
    <row r="432" ht="14.25" customHeight="1"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N432" s="75"/>
    </row>
    <row r="433" ht="14.25" customHeight="1"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N433" s="75"/>
    </row>
    <row r="434" ht="14.25" customHeight="1"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N434" s="75"/>
    </row>
    <row r="435" ht="14.25" customHeight="1"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N435" s="75"/>
    </row>
    <row r="436" ht="14.25" customHeight="1"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N436" s="75"/>
    </row>
    <row r="437" ht="14.25" customHeight="1"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N437" s="75"/>
    </row>
    <row r="438" ht="14.25" customHeight="1"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N438" s="75"/>
    </row>
    <row r="439" ht="14.25" customHeight="1"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N439" s="75"/>
    </row>
    <row r="440" ht="14.25" customHeight="1"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N440" s="75"/>
    </row>
    <row r="441" ht="14.25" customHeight="1"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N441" s="75"/>
    </row>
    <row r="442" ht="14.25" customHeight="1"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N442" s="75"/>
    </row>
    <row r="443" ht="14.25" customHeight="1"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N443" s="75"/>
    </row>
    <row r="444" ht="14.25" customHeight="1"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N444" s="75"/>
    </row>
    <row r="445" ht="14.25" customHeight="1"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N445" s="75"/>
    </row>
    <row r="446" ht="14.25" customHeight="1"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N446" s="75"/>
    </row>
    <row r="447" ht="14.25" customHeight="1"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N447" s="75"/>
    </row>
    <row r="448" ht="14.25" customHeight="1"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N448" s="75"/>
    </row>
    <row r="449" ht="14.25" customHeight="1"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N449" s="75"/>
    </row>
    <row r="450" ht="14.25" customHeight="1"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N450" s="75"/>
    </row>
    <row r="451" ht="14.25" customHeight="1"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N451" s="75"/>
    </row>
    <row r="452" ht="14.25" customHeight="1"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N452" s="75"/>
    </row>
    <row r="453" ht="14.25" customHeight="1"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N453" s="75"/>
    </row>
    <row r="454" ht="14.25" customHeight="1"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N454" s="75"/>
    </row>
    <row r="455" ht="14.25" customHeight="1"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N455" s="75"/>
    </row>
    <row r="456" ht="14.25" customHeight="1"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N456" s="75"/>
    </row>
    <row r="457" ht="14.25" customHeight="1"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N457" s="75"/>
    </row>
    <row r="458" ht="14.25" customHeight="1"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N458" s="75"/>
    </row>
    <row r="459" ht="14.25" customHeight="1"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N459" s="75"/>
    </row>
    <row r="460" ht="14.25" customHeight="1"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N460" s="75"/>
    </row>
    <row r="461" ht="14.25" customHeight="1"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N461" s="75"/>
    </row>
    <row r="462" ht="14.25" customHeight="1"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N462" s="75"/>
    </row>
    <row r="463" ht="14.25" customHeight="1"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N463" s="75"/>
    </row>
    <row r="464" ht="14.25" customHeight="1"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N464" s="75"/>
    </row>
    <row r="465" ht="14.25" customHeight="1"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N465" s="75"/>
    </row>
    <row r="466" ht="14.25" customHeight="1"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N466" s="75"/>
    </row>
    <row r="467" ht="14.25" customHeight="1"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N467" s="75"/>
    </row>
    <row r="468" ht="14.25" customHeight="1"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N468" s="75"/>
    </row>
    <row r="469" ht="14.25" customHeight="1"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N469" s="75"/>
    </row>
    <row r="470" ht="14.25" customHeight="1"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N470" s="75"/>
    </row>
    <row r="471" ht="14.25" customHeight="1"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N471" s="75"/>
    </row>
    <row r="472" ht="14.25" customHeight="1"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N472" s="75"/>
    </row>
    <row r="473" ht="14.25" customHeight="1"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N473" s="75"/>
    </row>
    <row r="474" ht="14.25" customHeight="1"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N474" s="75"/>
    </row>
    <row r="475" ht="14.25" customHeight="1"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N475" s="75"/>
    </row>
    <row r="476" ht="14.25" customHeight="1"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N476" s="75"/>
    </row>
    <row r="477" ht="14.25" customHeight="1"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N477" s="75"/>
    </row>
    <row r="478" ht="14.25" customHeight="1"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N478" s="75"/>
    </row>
    <row r="479" ht="14.25" customHeight="1"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N479" s="75"/>
    </row>
    <row r="480" ht="14.25" customHeight="1"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N480" s="75"/>
    </row>
    <row r="481" ht="14.25" customHeight="1"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N481" s="75"/>
    </row>
    <row r="482" ht="14.25" customHeight="1"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N482" s="75"/>
    </row>
    <row r="483" ht="14.25" customHeight="1"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N483" s="75"/>
    </row>
    <row r="484" ht="14.25" customHeight="1"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N484" s="75"/>
    </row>
    <row r="485" ht="14.25" customHeight="1"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N485" s="75"/>
    </row>
    <row r="486" ht="14.25" customHeight="1"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N486" s="75"/>
    </row>
    <row r="487" ht="14.25" customHeight="1"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N487" s="75"/>
    </row>
    <row r="488" ht="14.25" customHeight="1"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N488" s="75"/>
    </row>
    <row r="489" ht="14.25" customHeight="1"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N489" s="75"/>
    </row>
    <row r="490" ht="14.25" customHeight="1"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N490" s="75"/>
    </row>
    <row r="491" ht="14.25" customHeight="1"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N491" s="75"/>
    </row>
    <row r="492" ht="14.25" customHeight="1"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N492" s="75"/>
    </row>
    <row r="493" ht="14.25" customHeight="1"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N493" s="75"/>
    </row>
    <row r="494" ht="14.25" customHeight="1"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N494" s="75"/>
    </row>
    <row r="495" ht="14.25" customHeight="1"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N495" s="75"/>
    </row>
    <row r="496" ht="14.25" customHeight="1"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N496" s="75"/>
    </row>
    <row r="497" ht="14.25" customHeight="1"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N497" s="75"/>
    </row>
    <row r="498" ht="14.25" customHeight="1"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N498" s="75"/>
    </row>
    <row r="499" ht="14.25" customHeight="1"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N499" s="75"/>
    </row>
    <row r="500" ht="14.25" customHeight="1"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N500" s="75"/>
    </row>
    <row r="501" ht="14.25" customHeight="1"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N501" s="75"/>
    </row>
    <row r="502" ht="14.25" customHeight="1"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N502" s="75"/>
    </row>
    <row r="503" ht="14.25" customHeight="1"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N503" s="75"/>
    </row>
    <row r="504" ht="14.25" customHeight="1"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N504" s="75"/>
    </row>
    <row r="505" ht="14.25" customHeight="1"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N505" s="75"/>
    </row>
    <row r="506" ht="14.25" customHeight="1"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N506" s="75"/>
    </row>
    <row r="507" ht="14.25" customHeight="1"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N507" s="75"/>
    </row>
    <row r="508" ht="14.25" customHeight="1"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N508" s="75"/>
    </row>
    <row r="509" ht="14.25" customHeight="1"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N509" s="75"/>
    </row>
    <row r="510" ht="14.25" customHeight="1"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N510" s="75"/>
    </row>
    <row r="511" ht="14.25" customHeight="1"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N511" s="75"/>
    </row>
    <row r="512" ht="14.25" customHeight="1"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N512" s="75"/>
    </row>
    <row r="513" ht="14.25" customHeight="1"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N513" s="75"/>
    </row>
    <row r="514" ht="14.25" customHeight="1"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N514" s="75"/>
    </row>
    <row r="515" ht="14.25" customHeight="1"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N515" s="75"/>
    </row>
    <row r="516" ht="14.25" customHeight="1"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N516" s="75"/>
    </row>
    <row r="517" ht="14.25" customHeight="1"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N517" s="75"/>
    </row>
    <row r="518" ht="14.25" customHeight="1"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N518" s="75"/>
    </row>
    <row r="519" ht="14.25" customHeight="1"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N519" s="75"/>
    </row>
    <row r="520" ht="14.25" customHeight="1"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N520" s="75"/>
    </row>
    <row r="521" ht="14.25" customHeight="1"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N521" s="75"/>
    </row>
    <row r="522" ht="14.25" customHeight="1"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N522" s="75"/>
    </row>
    <row r="523" ht="14.25" customHeight="1"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N523" s="75"/>
    </row>
    <row r="524" ht="14.25" customHeight="1"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N524" s="75"/>
    </row>
    <row r="525" ht="14.25" customHeight="1"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N525" s="75"/>
    </row>
    <row r="526" ht="14.25" customHeight="1"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N526" s="75"/>
    </row>
    <row r="527" ht="14.25" customHeight="1"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N527" s="75"/>
    </row>
    <row r="528" ht="14.25" customHeight="1"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N528" s="75"/>
    </row>
    <row r="529" ht="14.25" customHeight="1"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N529" s="75"/>
    </row>
    <row r="530" ht="14.25" customHeight="1"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N530" s="75"/>
    </row>
    <row r="531" ht="14.25" customHeight="1"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N531" s="75"/>
    </row>
    <row r="532" ht="14.25" customHeight="1"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N532" s="75"/>
    </row>
    <row r="533" ht="14.25" customHeight="1"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N533" s="75"/>
    </row>
    <row r="534" ht="14.25" customHeight="1"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N534" s="75"/>
    </row>
    <row r="535" ht="14.25" customHeight="1"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N535" s="75"/>
    </row>
    <row r="536" ht="14.25" customHeight="1"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N536" s="75"/>
    </row>
    <row r="537" ht="14.25" customHeight="1"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N537" s="75"/>
    </row>
    <row r="538" ht="14.25" customHeight="1"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N538" s="75"/>
    </row>
    <row r="539" ht="14.25" customHeight="1"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N539" s="75"/>
    </row>
    <row r="540" ht="14.25" customHeight="1"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N540" s="75"/>
    </row>
    <row r="541" ht="14.25" customHeight="1"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N541" s="75"/>
    </row>
    <row r="542" ht="14.25" customHeight="1"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N542" s="75"/>
    </row>
    <row r="543" ht="14.25" customHeight="1"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N543" s="75"/>
    </row>
    <row r="544" ht="14.25" customHeight="1"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N544" s="75"/>
    </row>
    <row r="545" ht="14.25" customHeight="1"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N545" s="75"/>
    </row>
    <row r="546" ht="14.25" customHeight="1"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N546" s="75"/>
    </row>
    <row r="547" ht="14.25" customHeight="1"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N547" s="75"/>
    </row>
    <row r="548" ht="14.25" customHeight="1"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N548" s="75"/>
    </row>
    <row r="549" ht="14.25" customHeight="1"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N549" s="75"/>
    </row>
    <row r="550" ht="14.25" customHeight="1"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N550" s="75"/>
    </row>
    <row r="551" ht="14.25" customHeight="1"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N551" s="75"/>
    </row>
    <row r="552" ht="14.25" customHeight="1"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N552" s="75"/>
    </row>
    <row r="553" ht="14.25" customHeight="1"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N553" s="75"/>
    </row>
    <row r="554" ht="14.25" customHeight="1"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N554" s="75"/>
    </row>
    <row r="555" ht="14.25" customHeight="1"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N555" s="75"/>
    </row>
    <row r="556" ht="14.25" customHeight="1"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N556" s="75"/>
    </row>
    <row r="557" ht="14.25" customHeight="1"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N557" s="75"/>
    </row>
    <row r="558" ht="14.25" customHeight="1"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N558" s="75"/>
    </row>
    <row r="559" ht="14.25" customHeight="1"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N559" s="75"/>
    </row>
    <row r="560" ht="14.25" customHeight="1"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N560" s="75"/>
    </row>
    <row r="561" ht="14.25" customHeight="1"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N561" s="75"/>
    </row>
    <row r="562" ht="14.25" customHeight="1"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N562" s="75"/>
    </row>
    <row r="563" ht="14.25" customHeight="1"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N563" s="75"/>
    </row>
    <row r="564" ht="14.25" customHeight="1"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N564" s="75"/>
    </row>
    <row r="565" ht="14.25" customHeight="1"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N565" s="75"/>
    </row>
    <row r="566" ht="14.25" customHeight="1"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N566" s="75"/>
    </row>
    <row r="567" ht="14.25" customHeight="1"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N567" s="75"/>
    </row>
    <row r="568" ht="14.25" customHeight="1"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N568" s="75"/>
    </row>
    <row r="569" ht="14.25" customHeight="1"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N569" s="75"/>
    </row>
    <row r="570" ht="14.25" customHeight="1"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N570" s="75"/>
    </row>
    <row r="571" ht="14.25" customHeight="1"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N571" s="75"/>
    </row>
    <row r="572" ht="14.25" customHeight="1"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N572" s="75"/>
    </row>
    <row r="573" ht="14.25" customHeight="1"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N573" s="75"/>
    </row>
    <row r="574" ht="14.25" customHeight="1"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N574" s="75"/>
    </row>
    <row r="575" ht="14.25" customHeight="1"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N575" s="75"/>
    </row>
    <row r="576" ht="14.25" customHeight="1"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N576" s="75"/>
    </row>
    <row r="577" ht="14.25" customHeight="1"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N577" s="75"/>
    </row>
    <row r="578" ht="14.25" customHeight="1"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N578" s="75"/>
    </row>
    <row r="579" ht="14.25" customHeight="1"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N579" s="75"/>
    </row>
    <row r="580" ht="14.25" customHeight="1"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N580" s="75"/>
    </row>
    <row r="581" ht="14.25" customHeight="1"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N581" s="75"/>
    </row>
    <row r="582" ht="14.25" customHeight="1"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N582" s="75"/>
    </row>
    <row r="583" ht="14.25" customHeight="1"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N583" s="75"/>
    </row>
    <row r="584" ht="14.25" customHeight="1"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N584" s="75"/>
    </row>
    <row r="585" ht="14.25" customHeight="1"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N585" s="75"/>
    </row>
    <row r="586" ht="14.25" customHeight="1"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N586" s="75"/>
    </row>
    <row r="587" ht="14.25" customHeight="1"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N587" s="75"/>
    </row>
    <row r="588" ht="14.25" customHeight="1"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N588" s="75"/>
    </row>
    <row r="589" ht="14.25" customHeight="1"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N589" s="75"/>
    </row>
    <row r="590" ht="14.25" customHeight="1"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N590" s="75"/>
    </row>
    <row r="591" ht="14.25" customHeight="1"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N591" s="75"/>
    </row>
    <row r="592" ht="14.25" customHeight="1"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N592" s="75"/>
    </row>
    <row r="593" ht="14.25" customHeight="1"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N593" s="75"/>
    </row>
    <row r="594" ht="14.25" customHeight="1"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N594" s="75"/>
    </row>
    <row r="595" ht="14.25" customHeight="1"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N595" s="75"/>
    </row>
    <row r="596" ht="14.25" customHeight="1"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N596" s="75"/>
    </row>
    <row r="597" ht="14.25" customHeight="1"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N597" s="75"/>
    </row>
    <row r="598" ht="14.25" customHeight="1"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N598" s="75"/>
    </row>
    <row r="599" ht="14.25" customHeight="1"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N599" s="75"/>
    </row>
    <row r="600" ht="14.25" customHeight="1"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N600" s="75"/>
    </row>
    <row r="601" ht="14.25" customHeight="1"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N601" s="75"/>
    </row>
    <row r="602" ht="14.25" customHeight="1"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N602" s="75"/>
    </row>
    <row r="603" ht="14.25" customHeight="1"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N603" s="75"/>
    </row>
    <row r="604" ht="14.25" customHeight="1"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N604" s="75"/>
    </row>
    <row r="605" ht="14.25" customHeight="1"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N605" s="75"/>
    </row>
    <row r="606" ht="14.25" customHeight="1"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N606" s="75"/>
    </row>
    <row r="607" ht="14.25" customHeight="1"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N607" s="75"/>
    </row>
    <row r="608" ht="14.25" customHeight="1"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N608" s="75"/>
    </row>
    <row r="609" ht="14.25" customHeight="1"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N609" s="75"/>
    </row>
    <row r="610" ht="14.25" customHeight="1"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N610" s="75"/>
    </row>
    <row r="611" ht="14.25" customHeight="1"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N611" s="75"/>
    </row>
    <row r="612" ht="14.25" customHeight="1"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N612" s="75"/>
    </row>
    <row r="613" ht="14.25" customHeight="1"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N613" s="75"/>
    </row>
    <row r="614" ht="14.25" customHeight="1"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N614" s="75"/>
    </row>
    <row r="615" ht="14.25" customHeight="1"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N615" s="75"/>
    </row>
    <row r="616" ht="14.25" customHeight="1"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N616" s="75"/>
    </row>
    <row r="617" ht="14.25" customHeight="1"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N617" s="75"/>
    </row>
    <row r="618" ht="14.25" customHeight="1"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N618" s="75"/>
    </row>
    <row r="619" ht="14.25" customHeight="1"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N619" s="75"/>
    </row>
    <row r="620" ht="14.25" customHeight="1"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N620" s="75"/>
    </row>
    <row r="621" ht="14.25" customHeight="1"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N621" s="75"/>
    </row>
    <row r="622" ht="14.25" customHeight="1"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N622" s="75"/>
    </row>
    <row r="623" ht="14.25" customHeight="1"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N623" s="75"/>
    </row>
    <row r="624" ht="14.25" customHeight="1"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N624" s="75"/>
    </row>
    <row r="625" ht="14.25" customHeight="1"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N625" s="75"/>
    </row>
    <row r="626" ht="14.25" customHeight="1"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N626" s="75"/>
    </row>
    <row r="627" ht="14.25" customHeight="1"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N627" s="75"/>
    </row>
    <row r="628" ht="14.25" customHeight="1"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N628" s="75"/>
    </row>
    <row r="629" ht="14.25" customHeight="1"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N629" s="75"/>
    </row>
    <row r="630" ht="14.25" customHeight="1"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N630" s="75"/>
    </row>
    <row r="631" ht="14.25" customHeight="1"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N631" s="75"/>
    </row>
    <row r="632" ht="14.25" customHeight="1"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N632" s="75"/>
    </row>
    <row r="633" ht="14.25" customHeight="1"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N633" s="75"/>
    </row>
    <row r="634" ht="14.25" customHeight="1"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N634" s="75"/>
    </row>
    <row r="635" ht="14.25" customHeight="1"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N635" s="75"/>
    </row>
    <row r="636" ht="14.25" customHeight="1"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N636" s="75"/>
    </row>
    <row r="637" ht="14.25" customHeight="1"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N637" s="75"/>
    </row>
    <row r="638" ht="14.25" customHeight="1"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N638" s="75"/>
    </row>
    <row r="639" ht="14.25" customHeight="1"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N639" s="75"/>
    </row>
    <row r="640" ht="14.25" customHeight="1"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N640" s="75"/>
    </row>
    <row r="641" ht="14.25" customHeight="1"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N641" s="75"/>
    </row>
    <row r="642" ht="14.25" customHeight="1"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N642" s="75"/>
    </row>
    <row r="643" ht="14.25" customHeight="1"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N643" s="75"/>
    </row>
    <row r="644" ht="14.25" customHeight="1"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N644" s="75"/>
    </row>
    <row r="645" ht="14.25" customHeight="1"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N645" s="75"/>
    </row>
    <row r="646" ht="14.25" customHeight="1"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N646" s="75"/>
    </row>
    <row r="647" ht="14.25" customHeight="1"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N647" s="75"/>
    </row>
    <row r="648" ht="14.25" customHeight="1"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N648" s="75"/>
    </row>
    <row r="649" ht="14.25" customHeight="1"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N649" s="75"/>
    </row>
    <row r="650" ht="14.25" customHeight="1"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N650" s="75"/>
    </row>
    <row r="651" ht="14.25" customHeight="1"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N651" s="75"/>
    </row>
    <row r="652" ht="14.25" customHeight="1"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N652" s="75"/>
    </row>
    <row r="653" ht="14.25" customHeight="1"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N653" s="75"/>
    </row>
    <row r="654" ht="14.25" customHeight="1"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N654" s="75"/>
    </row>
    <row r="655" ht="14.25" customHeight="1"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N655" s="75"/>
    </row>
    <row r="656" ht="14.25" customHeight="1"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N656" s="75"/>
    </row>
    <row r="657" ht="14.25" customHeight="1"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N657" s="75"/>
    </row>
    <row r="658" ht="14.25" customHeight="1"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N658" s="75"/>
    </row>
    <row r="659" ht="14.25" customHeight="1"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N659" s="75"/>
    </row>
    <row r="660" ht="14.25" customHeight="1"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N660" s="75"/>
    </row>
    <row r="661" ht="14.25" customHeight="1"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N661" s="75"/>
    </row>
    <row r="662" ht="14.25" customHeight="1"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N662" s="75"/>
    </row>
    <row r="663" ht="14.25" customHeight="1"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N663" s="75"/>
    </row>
    <row r="664" ht="14.25" customHeight="1"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N664" s="75"/>
    </row>
    <row r="665" ht="14.25" customHeight="1"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N665" s="75"/>
    </row>
    <row r="666" ht="14.25" customHeight="1"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N666" s="75"/>
    </row>
    <row r="667" ht="14.25" customHeight="1"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N667" s="75"/>
    </row>
    <row r="668" ht="14.25" customHeight="1"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N668" s="75"/>
    </row>
    <row r="669" ht="14.25" customHeight="1"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N669" s="75"/>
    </row>
    <row r="670" ht="14.25" customHeight="1"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N670" s="75"/>
    </row>
    <row r="671" ht="14.25" customHeight="1"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N671" s="75"/>
    </row>
    <row r="672" ht="14.25" customHeight="1"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N672" s="75"/>
    </row>
    <row r="673" ht="14.25" customHeight="1"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N673" s="75"/>
    </row>
    <row r="674" ht="14.25" customHeight="1"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N674" s="75"/>
    </row>
    <row r="675" ht="14.25" customHeight="1"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N675" s="75"/>
    </row>
    <row r="676" ht="14.25" customHeight="1"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N676" s="75"/>
    </row>
    <row r="677" ht="14.25" customHeight="1"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N677" s="75"/>
    </row>
    <row r="678" ht="14.25" customHeight="1"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N678" s="75"/>
    </row>
    <row r="679" ht="14.25" customHeight="1"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N679" s="75"/>
    </row>
    <row r="680" ht="14.25" customHeight="1"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N680" s="75"/>
    </row>
    <row r="681" ht="14.25" customHeight="1"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N681" s="75"/>
    </row>
    <row r="682" ht="14.25" customHeight="1"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N682" s="75"/>
    </row>
    <row r="683" ht="14.25" customHeight="1"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N683" s="75"/>
    </row>
    <row r="684" ht="14.25" customHeight="1"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N684" s="75"/>
    </row>
    <row r="685" ht="14.25" customHeight="1"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N685" s="75"/>
    </row>
    <row r="686" ht="14.25" customHeight="1"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N686" s="75"/>
    </row>
    <row r="687" ht="14.25" customHeight="1"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N687" s="75"/>
    </row>
    <row r="688" ht="14.25" customHeight="1"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N688" s="75"/>
    </row>
    <row r="689" ht="14.25" customHeight="1"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N689" s="75"/>
    </row>
    <row r="690" ht="14.25" customHeight="1"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N690" s="75"/>
    </row>
    <row r="691" ht="14.25" customHeight="1"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N691" s="75"/>
    </row>
    <row r="692" ht="14.25" customHeight="1"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N692" s="75"/>
    </row>
    <row r="693" ht="14.25" customHeight="1"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N693" s="75"/>
    </row>
    <row r="694" ht="14.25" customHeight="1"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N694" s="75"/>
    </row>
    <row r="695" ht="14.25" customHeight="1"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N695" s="75"/>
    </row>
    <row r="696" ht="14.25" customHeight="1"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N696" s="75"/>
    </row>
    <row r="697" ht="14.25" customHeight="1"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N697" s="75"/>
    </row>
    <row r="698" ht="14.25" customHeight="1"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N698" s="75"/>
    </row>
    <row r="699" ht="14.25" customHeight="1"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N699" s="75"/>
    </row>
    <row r="700" ht="14.25" customHeight="1"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N700" s="75"/>
    </row>
    <row r="701" ht="14.25" customHeight="1"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N701" s="75"/>
    </row>
    <row r="702" ht="14.25" customHeight="1"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N702" s="75"/>
    </row>
    <row r="703" ht="14.25" customHeight="1"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N703" s="75"/>
    </row>
    <row r="704" ht="14.25" customHeight="1"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N704" s="75"/>
    </row>
    <row r="705" ht="14.25" customHeight="1"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N705" s="75"/>
    </row>
    <row r="706" ht="14.25" customHeight="1"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N706" s="75"/>
    </row>
    <row r="707" ht="14.25" customHeight="1"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N707" s="75"/>
    </row>
    <row r="708" ht="14.25" customHeight="1"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N708" s="75"/>
    </row>
    <row r="709" ht="14.25" customHeight="1"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N709" s="75"/>
    </row>
    <row r="710" ht="14.25" customHeight="1"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N710" s="75"/>
    </row>
    <row r="711" ht="14.25" customHeight="1"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N711" s="75"/>
    </row>
    <row r="712" ht="14.25" customHeight="1"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N712" s="75"/>
    </row>
    <row r="713" ht="14.25" customHeight="1"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N713" s="75"/>
    </row>
    <row r="714" ht="14.25" customHeight="1"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N714" s="75"/>
    </row>
    <row r="715" ht="14.25" customHeight="1"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N715" s="75"/>
    </row>
    <row r="716" ht="14.25" customHeight="1"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N716" s="75"/>
    </row>
    <row r="717" ht="14.25" customHeight="1"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N717" s="75"/>
    </row>
    <row r="718" ht="14.25" customHeight="1"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N718" s="75"/>
    </row>
    <row r="719" ht="14.25" customHeight="1"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N719" s="75"/>
    </row>
    <row r="720" ht="14.25" customHeight="1"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N720" s="75"/>
    </row>
    <row r="721" ht="14.25" customHeight="1"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N721" s="75"/>
    </row>
    <row r="722" ht="14.25" customHeight="1"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N722" s="75"/>
    </row>
    <row r="723" ht="14.25" customHeight="1"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N723" s="75"/>
    </row>
    <row r="724" ht="14.25" customHeight="1"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N724" s="75"/>
    </row>
    <row r="725" ht="14.25" customHeight="1"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N725" s="75"/>
    </row>
    <row r="726" ht="14.25" customHeight="1"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N726" s="75"/>
    </row>
    <row r="727" ht="14.25" customHeight="1"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N727" s="75"/>
    </row>
    <row r="728" ht="14.25" customHeight="1"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N728" s="75"/>
    </row>
    <row r="729" ht="14.25" customHeight="1"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N729" s="75"/>
    </row>
    <row r="730" ht="14.25" customHeight="1"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N730" s="75"/>
    </row>
    <row r="731" ht="14.25" customHeight="1"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N731" s="75"/>
    </row>
    <row r="732" ht="14.25" customHeight="1"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N732" s="75"/>
    </row>
    <row r="733" ht="14.25" customHeight="1"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N733" s="75"/>
    </row>
    <row r="734" ht="14.25" customHeight="1"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N734" s="75"/>
    </row>
    <row r="735" ht="14.25" customHeight="1"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N735" s="75"/>
    </row>
    <row r="736" ht="14.25" customHeight="1"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N736" s="75"/>
    </row>
    <row r="737" ht="14.25" customHeight="1"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N737" s="75"/>
    </row>
    <row r="738" ht="14.25" customHeight="1"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N738" s="75"/>
    </row>
    <row r="739" ht="14.25" customHeight="1"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N739" s="75"/>
    </row>
    <row r="740" ht="14.25" customHeight="1"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N740" s="75"/>
    </row>
    <row r="741" ht="14.25" customHeight="1"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N741" s="75"/>
    </row>
    <row r="742" ht="14.25" customHeight="1"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N742" s="75"/>
    </row>
    <row r="743" ht="14.25" customHeight="1"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N743" s="75"/>
    </row>
    <row r="744" ht="14.25" customHeight="1"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N744" s="75"/>
    </row>
    <row r="745" ht="14.25" customHeight="1"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N745" s="75"/>
    </row>
    <row r="746" ht="14.25" customHeight="1"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N746" s="75"/>
    </row>
    <row r="747" ht="14.25" customHeight="1"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N747" s="75"/>
    </row>
    <row r="748" ht="14.25" customHeight="1"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N748" s="75"/>
    </row>
    <row r="749" ht="14.25" customHeight="1"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N749" s="75"/>
    </row>
    <row r="750" ht="14.25" customHeight="1"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N750" s="75"/>
    </row>
    <row r="751" ht="14.25" customHeight="1"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N751" s="75"/>
    </row>
    <row r="752" ht="14.25" customHeight="1"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N752" s="75"/>
    </row>
    <row r="753" ht="14.25" customHeight="1"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N753" s="75"/>
    </row>
    <row r="754" ht="14.25" customHeight="1"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N754" s="75"/>
    </row>
    <row r="755" ht="14.25" customHeight="1"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N755" s="75"/>
    </row>
    <row r="756" ht="14.25" customHeight="1"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N756" s="75"/>
    </row>
    <row r="757" ht="14.25" customHeight="1"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N757" s="75"/>
    </row>
    <row r="758" ht="14.25" customHeight="1"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N758" s="75"/>
    </row>
    <row r="759" ht="14.25" customHeight="1"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N759" s="75"/>
    </row>
    <row r="760" ht="14.25" customHeight="1"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N760" s="75"/>
    </row>
    <row r="761" ht="14.25" customHeight="1"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N761" s="75"/>
    </row>
    <row r="762" ht="14.25" customHeight="1"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N762" s="75"/>
    </row>
    <row r="763" ht="14.25" customHeight="1"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N763" s="75"/>
    </row>
    <row r="764" ht="14.25" customHeight="1"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N764" s="75"/>
    </row>
    <row r="765" ht="14.25" customHeight="1"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N765" s="75"/>
    </row>
    <row r="766" ht="14.25" customHeight="1"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N766" s="75"/>
    </row>
    <row r="767" ht="14.25" customHeight="1"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N767" s="75"/>
    </row>
    <row r="768" ht="14.25" customHeight="1"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N768" s="75"/>
    </row>
    <row r="769" ht="14.25" customHeight="1"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N769" s="75"/>
    </row>
    <row r="770" ht="14.25" customHeight="1"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N770" s="75"/>
    </row>
    <row r="771" ht="14.25" customHeight="1"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N771" s="75"/>
    </row>
    <row r="772" ht="14.25" customHeight="1"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N772" s="75"/>
    </row>
    <row r="773" ht="14.25" customHeight="1"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N773" s="75"/>
    </row>
    <row r="774" ht="14.25" customHeight="1"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N774" s="75"/>
    </row>
    <row r="775" ht="14.25" customHeight="1"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N775" s="75"/>
    </row>
    <row r="776" ht="14.25" customHeight="1"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N776" s="75"/>
    </row>
    <row r="777" ht="14.25" customHeight="1"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N777" s="75"/>
    </row>
    <row r="778" ht="14.25" customHeight="1"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N778" s="75"/>
    </row>
    <row r="779" ht="14.25" customHeight="1"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N779" s="75"/>
    </row>
    <row r="780" ht="14.25" customHeight="1"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N780" s="75"/>
    </row>
    <row r="781" ht="14.25" customHeight="1"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N781" s="75"/>
    </row>
    <row r="782" ht="14.25" customHeight="1"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N782" s="75"/>
    </row>
    <row r="783" ht="14.25" customHeight="1"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N783" s="75"/>
    </row>
    <row r="784" ht="14.25" customHeight="1"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N784" s="75"/>
    </row>
    <row r="785" ht="14.25" customHeight="1"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N785" s="75"/>
    </row>
    <row r="786" ht="14.25" customHeight="1"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N786" s="75"/>
    </row>
    <row r="787" ht="14.25" customHeight="1"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N787" s="75"/>
    </row>
    <row r="788" ht="14.25" customHeight="1"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N788" s="75"/>
    </row>
    <row r="789" ht="14.25" customHeight="1"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N789" s="75"/>
    </row>
    <row r="790" ht="14.25" customHeight="1"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N790" s="75"/>
    </row>
    <row r="791" ht="14.25" customHeight="1"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N791" s="75"/>
    </row>
    <row r="792" ht="14.25" customHeight="1"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N792" s="75"/>
    </row>
    <row r="793" ht="14.25" customHeight="1"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N793" s="75"/>
    </row>
    <row r="794" ht="14.25" customHeight="1"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N794" s="75"/>
    </row>
    <row r="795" ht="14.25" customHeight="1"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N795" s="75"/>
    </row>
    <row r="796" ht="14.25" customHeight="1"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N796" s="75"/>
    </row>
    <row r="797" ht="14.25" customHeight="1"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N797" s="75"/>
    </row>
    <row r="798" ht="14.25" customHeight="1"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N798" s="75"/>
    </row>
    <row r="799" ht="14.25" customHeight="1"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N799" s="75"/>
    </row>
    <row r="800" ht="14.25" customHeight="1"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N800" s="75"/>
    </row>
    <row r="801" ht="14.25" customHeight="1"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N801" s="75"/>
    </row>
    <row r="802" ht="14.25" customHeight="1"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N802" s="75"/>
    </row>
    <row r="803" ht="14.25" customHeight="1"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N803" s="75"/>
    </row>
    <row r="804" ht="14.25" customHeight="1"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N804" s="75"/>
    </row>
    <row r="805" ht="14.25" customHeight="1"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N805" s="75"/>
    </row>
    <row r="806" ht="14.25" customHeight="1"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N806" s="75"/>
    </row>
    <row r="807" ht="14.25" customHeight="1"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N807" s="75"/>
    </row>
    <row r="808" ht="14.25" customHeight="1"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N808" s="75"/>
    </row>
    <row r="809" ht="14.25" customHeight="1"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N809" s="75"/>
    </row>
    <row r="810" ht="14.25" customHeight="1"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N810" s="75"/>
    </row>
    <row r="811" ht="14.25" customHeight="1"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N811" s="75"/>
    </row>
    <row r="812" ht="14.25" customHeight="1"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N812" s="75"/>
    </row>
    <row r="813" ht="14.25" customHeight="1"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N813" s="75"/>
    </row>
    <row r="814" ht="14.25" customHeight="1"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N814" s="75"/>
    </row>
    <row r="815" ht="14.25" customHeight="1"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N815" s="75"/>
    </row>
    <row r="816" ht="14.25" customHeight="1"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N816" s="75"/>
    </row>
    <row r="817" ht="14.25" customHeight="1"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N817" s="75"/>
    </row>
    <row r="818" ht="14.25" customHeight="1"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N818" s="75"/>
    </row>
    <row r="819" ht="14.25" customHeight="1"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N819" s="75"/>
    </row>
    <row r="820" ht="14.25" customHeight="1"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N820" s="75"/>
    </row>
    <row r="821" ht="14.25" customHeight="1"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N821" s="75"/>
    </row>
    <row r="822" ht="14.25" customHeight="1"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N822" s="75"/>
    </row>
    <row r="823" ht="14.25" customHeight="1"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N823" s="75"/>
    </row>
    <row r="824" ht="14.25" customHeight="1"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N824" s="75"/>
    </row>
    <row r="825" ht="14.25" customHeight="1"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N825" s="75"/>
    </row>
    <row r="826" ht="14.25" customHeight="1"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N826" s="75"/>
    </row>
    <row r="827" ht="14.25" customHeight="1"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N827" s="75"/>
    </row>
    <row r="828" ht="14.25" customHeight="1"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N828" s="75"/>
    </row>
    <row r="829" ht="14.25" customHeight="1"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N829" s="75"/>
    </row>
    <row r="830" ht="14.25" customHeight="1"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N830" s="75"/>
    </row>
    <row r="831" ht="14.25" customHeight="1"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N831" s="75"/>
    </row>
    <row r="832" ht="14.25" customHeight="1"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N832" s="75"/>
    </row>
    <row r="833" ht="14.25" customHeight="1"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N833" s="75"/>
    </row>
    <row r="834" ht="14.25" customHeight="1"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N834" s="75"/>
    </row>
    <row r="835" ht="14.25" customHeight="1"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N835" s="75"/>
    </row>
    <row r="836" ht="14.25" customHeight="1"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N836" s="75"/>
    </row>
    <row r="837" ht="14.25" customHeight="1"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N837" s="75"/>
    </row>
    <row r="838" ht="14.25" customHeight="1"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N838" s="75"/>
    </row>
    <row r="839" ht="14.25" customHeight="1"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N839" s="75"/>
    </row>
    <row r="840" ht="14.25" customHeight="1"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N840" s="75"/>
    </row>
    <row r="841" ht="14.25" customHeight="1"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N841" s="75"/>
    </row>
    <row r="842" ht="14.25" customHeight="1"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N842" s="75"/>
    </row>
    <row r="843" ht="14.25" customHeight="1"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N843" s="75"/>
    </row>
    <row r="844" ht="14.25" customHeight="1"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N844" s="75"/>
    </row>
    <row r="845" ht="14.25" customHeight="1"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N845" s="75"/>
    </row>
    <row r="846" ht="14.25" customHeight="1"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N846" s="75"/>
    </row>
    <row r="847" ht="14.25" customHeight="1"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N847" s="75"/>
    </row>
    <row r="848" ht="14.25" customHeight="1"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N848" s="75"/>
    </row>
    <row r="849" ht="14.25" customHeight="1"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N849" s="75"/>
    </row>
    <row r="850" ht="14.25" customHeight="1"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N850" s="75"/>
    </row>
    <row r="851" ht="14.25" customHeight="1"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N851" s="75"/>
    </row>
    <row r="852" ht="14.25" customHeight="1"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N852" s="75"/>
    </row>
    <row r="853" ht="14.25" customHeight="1"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N853" s="75"/>
    </row>
    <row r="854" ht="14.25" customHeight="1"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N854" s="75"/>
    </row>
    <row r="855" ht="14.25" customHeight="1"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N855" s="75"/>
    </row>
    <row r="856" ht="14.25" customHeight="1"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N856" s="75"/>
    </row>
    <row r="857" ht="14.25" customHeight="1"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N857" s="75"/>
    </row>
    <row r="858" ht="14.25" customHeight="1"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N858" s="75"/>
    </row>
    <row r="859" ht="14.25" customHeight="1"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N859" s="75"/>
    </row>
    <row r="860" ht="14.25" customHeight="1"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N860" s="75"/>
    </row>
    <row r="861" ht="14.25" customHeight="1"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N861" s="75"/>
    </row>
    <row r="862" ht="14.25" customHeight="1"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N862" s="75"/>
    </row>
    <row r="863" ht="14.25" customHeight="1"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N863" s="75"/>
    </row>
    <row r="864" ht="14.25" customHeight="1"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N864" s="75"/>
    </row>
    <row r="865" ht="14.25" customHeight="1"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N865" s="75"/>
    </row>
    <row r="866" ht="14.25" customHeight="1"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N866" s="75"/>
    </row>
    <row r="867" ht="14.25" customHeight="1"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N867" s="75"/>
    </row>
    <row r="868" ht="14.25" customHeight="1"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N868" s="75"/>
    </row>
    <row r="869" ht="14.25" customHeight="1"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N869" s="75"/>
    </row>
    <row r="870" ht="14.25" customHeight="1"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N870" s="75"/>
    </row>
    <row r="871" ht="14.25" customHeight="1"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N871" s="75"/>
    </row>
    <row r="872" ht="14.25" customHeight="1"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N872" s="75"/>
    </row>
    <row r="873" ht="14.25" customHeight="1"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N873" s="75"/>
    </row>
    <row r="874" ht="14.25" customHeight="1"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N874" s="75"/>
    </row>
    <row r="875" ht="14.25" customHeight="1"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N875" s="75"/>
    </row>
    <row r="876" ht="14.25" customHeight="1"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N876" s="75"/>
    </row>
    <row r="877" ht="14.25" customHeight="1"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N877" s="75"/>
    </row>
    <row r="878" ht="14.25" customHeight="1"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N878" s="75"/>
    </row>
    <row r="879" ht="14.25" customHeight="1"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N879" s="75"/>
    </row>
    <row r="880" ht="14.25" customHeight="1"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N880" s="75"/>
    </row>
    <row r="881" ht="14.25" customHeight="1"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N881" s="75"/>
    </row>
    <row r="882" ht="14.25" customHeight="1"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N882" s="75"/>
    </row>
    <row r="883" ht="14.25" customHeight="1"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N883" s="75"/>
    </row>
    <row r="884" ht="14.25" customHeight="1"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N884" s="75"/>
    </row>
    <row r="885" ht="14.25" customHeight="1"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N885" s="75"/>
    </row>
    <row r="886" ht="14.25" customHeight="1"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N886" s="75"/>
    </row>
    <row r="887" ht="14.25" customHeight="1"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N887" s="75"/>
    </row>
    <row r="888" ht="14.25" customHeight="1"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N888" s="75"/>
    </row>
    <row r="889" ht="14.25" customHeight="1"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N889" s="75"/>
    </row>
    <row r="890" ht="14.25" customHeight="1"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N890" s="75"/>
    </row>
    <row r="891" ht="14.25" customHeight="1"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N891" s="75"/>
    </row>
    <row r="892" ht="14.25" customHeight="1"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N892" s="75"/>
    </row>
    <row r="893" ht="14.25" customHeight="1"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N893" s="75"/>
    </row>
    <row r="894" ht="14.25" customHeight="1"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N894" s="75"/>
    </row>
    <row r="895" ht="14.25" customHeight="1"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N895" s="75"/>
    </row>
    <row r="896" ht="14.25" customHeight="1"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N896" s="75"/>
    </row>
    <row r="897" ht="14.25" customHeight="1"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N897" s="75"/>
    </row>
    <row r="898" ht="14.25" customHeight="1"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N898" s="75"/>
    </row>
    <row r="899" ht="14.25" customHeight="1"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N899" s="75"/>
    </row>
    <row r="900" ht="14.25" customHeight="1"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N900" s="75"/>
    </row>
    <row r="901" ht="14.25" customHeight="1"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N901" s="75"/>
    </row>
    <row r="902" ht="14.25" customHeight="1"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N902" s="75"/>
    </row>
    <row r="903" ht="14.25" customHeight="1"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N903" s="75"/>
    </row>
    <row r="904" ht="14.25" customHeight="1"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N904" s="75"/>
    </row>
    <row r="905" ht="14.25" customHeight="1"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N905" s="75"/>
    </row>
    <row r="906" ht="14.25" customHeight="1"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N906" s="75"/>
    </row>
    <row r="907" ht="14.25" customHeight="1"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N907" s="75"/>
    </row>
    <row r="908" ht="14.25" customHeight="1"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N908" s="75"/>
    </row>
    <row r="909" ht="14.25" customHeight="1"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N909" s="75"/>
    </row>
    <row r="910" ht="14.25" customHeight="1"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N910" s="75"/>
    </row>
    <row r="911" ht="14.25" customHeight="1"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N911" s="75"/>
    </row>
    <row r="912" ht="14.25" customHeight="1"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N912" s="75"/>
    </row>
    <row r="913" ht="14.25" customHeight="1"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N913" s="75"/>
    </row>
    <row r="914" ht="14.25" customHeight="1"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N914" s="75"/>
    </row>
    <row r="915" ht="14.25" customHeight="1"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N915" s="75"/>
    </row>
    <row r="916" ht="14.25" customHeight="1"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N916" s="75"/>
    </row>
    <row r="917" ht="14.25" customHeight="1"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N917" s="75"/>
    </row>
    <row r="918" ht="14.25" customHeight="1"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N918" s="75"/>
    </row>
    <row r="919" ht="14.25" customHeight="1"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N919" s="75"/>
    </row>
    <row r="920" ht="14.25" customHeight="1"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N920" s="75"/>
    </row>
    <row r="921" ht="14.25" customHeight="1"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N921" s="75"/>
    </row>
    <row r="922" ht="14.25" customHeight="1"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N922" s="75"/>
    </row>
    <row r="923" ht="14.25" customHeight="1"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N923" s="75"/>
    </row>
    <row r="924" ht="14.25" customHeight="1"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N924" s="75"/>
    </row>
    <row r="925" ht="14.25" customHeight="1"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N925" s="75"/>
    </row>
    <row r="926" ht="14.25" customHeight="1"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N926" s="75"/>
    </row>
    <row r="927" ht="14.25" customHeight="1"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N927" s="75"/>
    </row>
    <row r="928" ht="14.25" customHeight="1"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N928" s="75"/>
    </row>
    <row r="929" ht="14.25" customHeight="1"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N929" s="75"/>
    </row>
    <row r="930" ht="14.25" customHeight="1"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N930" s="75"/>
    </row>
    <row r="931" ht="14.25" customHeight="1"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N931" s="75"/>
    </row>
    <row r="932" ht="14.25" customHeight="1"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N932" s="75"/>
    </row>
    <row r="933" ht="14.25" customHeight="1"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N933" s="75"/>
    </row>
    <row r="934" ht="14.25" customHeight="1"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N934" s="75"/>
    </row>
    <row r="935" ht="14.25" customHeight="1"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N935" s="75"/>
    </row>
    <row r="936" ht="14.25" customHeight="1"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N936" s="75"/>
    </row>
    <row r="937" ht="14.25" customHeight="1"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N937" s="75"/>
    </row>
    <row r="938" ht="14.25" customHeight="1"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N938" s="75"/>
    </row>
    <row r="939" ht="14.25" customHeight="1"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N939" s="75"/>
    </row>
    <row r="940" ht="14.25" customHeight="1"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N940" s="75"/>
    </row>
    <row r="941" ht="14.25" customHeight="1"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N941" s="75"/>
    </row>
    <row r="942" ht="14.25" customHeight="1"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N942" s="75"/>
    </row>
    <row r="943" ht="14.25" customHeight="1"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N943" s="75"/>
    </row>
    <row r="944" ht="14.25" customHeight="1"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N944" s="75"/>
    </row>
    <row r="945" ht="14.25" customHeight="1"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N945" s="75"/>
    </row>
    <row r="946" ht="14.25" customHeight="1"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N946" s="75"/>
    </row>
    <row r="947" ht="14.25" customHeight="1"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N947" s="75"/>
    </row>
    <row r="948" ht="14.25" customHeight="1"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N948" s="75"/>
    </row>
    <row r="949" ht="14.25" customHeight="1"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N949" s="75"/>
    </row>
    <row r="950" ht="14.25" customHeight="1"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N950" s="75"/>
    </row>
    <row r="951" ht="14.25" customHeight="1"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N951" s="75"/>
    </row>
    <row r="952" ht="14.25" customHeight="1"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N952" s="75"/>
    </row>
    <row r="953" ht="14.25" customHeight="1"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N953" s="75"/>
    </row>
    <row r="954" ht="14.25" customHeight="1"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N954" s="75"/>
    </row>
    <row r="955" ht="14.25" customHeight="1"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N955" s="75"/>
    </row>
    <row r="956" ht="14.25" customHeight="1"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N956" s="75"/>
    </row>
    <row r="957" ht="14.25" customHeight="1"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N957" s="75"/>
    </row>
    <row r="958" ht="14.25" customHeight="1"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N958" s="75"/>
    </row>
    <row r="959" ht="14.25" customHeight="1"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N959" s="75"/>
    </row>
    <row r="960" ht="14.25" customHeight="1"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N960" s="75"/>
    </row>
    <row r="961" ht="14.25" customHeight="1"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N961" s="75"/>
    </row>
    <row r="962" ht="14.25" customHeight="1"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N962" s="75"/>
    </row>
    <row r="963" ht="14.25" customHeight="1"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N963" s="75"/>
    </row>
    <row r="964" ht="14.25" customHeight="1"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N964" s="75"/>
    </row>
    <row r="965" ht="14.25" customHeight="1"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N965" s="75"/>
    </row>
    <row r="966" ht="14.25" customHeight="1"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N966" s="75"/>
    </row>
    <row r="967" ht="14.25" customHeight="1"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N967" s="75"/>
    </row>
    <row r="968" ht="14.25" customHeight="1"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N968" s="75"/>
    </row>
    <row r="969" ht="14.25" customHeight="1"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N969" s="75"/>
    </row>
    <row r="970" ht="14.25" customHeight="1"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N970" s="75"/>
    </row>
    <row r="971" ht="14.25" customHeight="1"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N971" s="75"/>
    </row>
    <row r="972" ht="14.25" customHeight="1"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N972" s="75"/>
    </row>
    <row r="973" ht="14.25" customHeight="1"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N973" s="75"/>
    </row>
    <row r="974" ht="14.25" customHeight="1"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N974" s="75"/>
    </row>
    <row r="975" ht="14.25" customHeight="1"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N975" s="75"/>
    </row>
    <row r="976" ht="14.25" customHeight="1"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N976" s="75"/>
    </row>
    <row r="977" ht="14.25" customHeight="1"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N977" s="75"/>
    </row>
    <row r="978" ht="14.25" customHeight="1"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N978" s="75"/>
    </row>
    <row r="979" ht="14.25" customHeight="1"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N979" s="75"/>
    </row>
    <row r="980" ht="14.25" customHeight="1"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N980" s="75"/>
    </row>
    <row r="981" ht="14.25" customHeight="1"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N981" s="75"/>
    </row>
    <row r="982" ht="14.25" customHeight="1"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N982" s="75"/>
    </row>
    <row r="983" ht="14.25" customHeight="1"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N983" s="75"/>
    </row>
    <row r="984" ht="14.25" customHeight="1"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N984" s="75"/>
    </row>
    <row r="985" ht="14.25" customHeight="1"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N985" s="75"/>
    </row>
    <row r="986" ht="14.25" customHeight="1"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N986" s="75"/>
    </row>
    <row r="987" ht="14.25" customHeight="1"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N987" s="75"/>
    </row>
    <row r="988" ht="14.25" customHeight="1"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N988" s="75"/>
    </row>
    <row r="989" ht="14.25" customHeight="1"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N989" s="75"/>
    </row>
    <row r="990" ht="14.25" customHeight="1"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N990" s="75"/>
    </row>
    <row r="991" ht="14.25" customHeight="1"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N991" s="75"/>
    </row>
    <row r="992" ht="14.25" customHeight="1"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N992" s="75"/>
    </row>
    <row r="993" ht="14.25" customHeight="1"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N993" s="75"/>
    </row>
    <row r="994" ht="14.25" customHeight="1"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N994" s="75"/>
    </row>
    <row r="995" ht="14.25" customHeight="1"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N995" s="75"/>
    </row>
    <row r="996" ht="14.25" customHeight="1"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N996" s="75"/>
    </row>
    <row r="997" ht="14.25" customHeight="1"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N997" s="75"/>
    </row>
    <row r="998" ht="14.25" customHeight="1"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N998" s="75"/>
    </row>
    <row r="999" ht="14.25" customHeight="1"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N999" s="75"/>
    </row>
    <row r="1000" ht="14.25" customHeight="1"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N1000" s="75"/>
    </row>
  </sheetData>
  <mergeCells count="21">
    <mergeCell ref="K3:K5"/>
    <mergeCell ref="L4:L5"/>
    <mergeCell ref="B1:L1"/>
    <mergeCell ref="B2:L2"/>
    <mergeCell ref="B3:E3"/>
    <mergeCell ref="F3:F5"/>
    <mergeCell ref="I3:J3"/>
    <mergeCell ref="B4:C4"/>
    <mergeCell ref="I4:J4"/>
    <mergeCell ref="G25:H25"/>
    <mergeCell ref="G26:H26"/>
    <mergeCell ref="I26:J26"/>
    <mergeCell ref="B32:L32"/>
    <mergeCell ref="B33:L33"/>
    <mergeCell ref="D4:E4"/>
    <mergeCell ref="G4:H4"/>
    <mergeCell ref="B25:C25"/>
    <mergeCell ref="D25:E25"/>
    <mergeCell ref="I25:J25"/>
    <mergeCell ref="B26:C26"/>
    <mergeCell ref="D26:E26"/>
  </mergeCells>
  <conditionalFormatting sqref="B29:L29">
    <cfRule type="cellIs" dxfId="0" priority="1" operator="greaterThan">
      <formula>0.05</formula>
    </cfRule>
  </conditionalFormatting>
  <conditionalFormatting sqref="B29:L29">
    <cfRule type="cellIs" dxfId="0" priority="2" operator="lessThan">
      <formula>-0.05</formula>
    </cfRule>
  </conditionalFormatting>
  <conditionalFormatting sqref="B29:L29">
    <cfRule type="cellIs" dxfId="1" priority="3" operator="between">
      <formula>0.05</formula>
      <formula>-0.05</formula>
    </cfRule>
  </conditionalFormatting>
  <conditionalFormatting sqref="B29:L29">
    <cfRule type="cellIs" dxfId="0" priority="4" operator="between">
      <formula>0.05</formula>
      <formula>0.05</formula>
    </cfRule>
  </conditionalFormatting>
  <conditionalFormatting sqref="B29:L29">
    <cfRule type="cellIs" dxfId="1" priority="5" operator="between">
      <formula>0.05</formula>
      <formula>0.05</formula>
    </cfRule>
  </conditionalFormatting>
  <printOptions/>
  <pageMargins bottom="0.75" footer="0.0" header="0.0" left="0.7" right="0.7" top="0.75"/>
  <pageSetup orientation="landscape"/>
  <drawing r:id="rId1"/>
</worksheet>
</file>